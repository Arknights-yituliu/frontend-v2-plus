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6265" windowHeight="13155" activeTab="1"/>
  </bookViews>
  <sheets>
    <sheet name="使用必看" sheetId="16" r:id="rId1"/>
    <sheet name="新手可用" sheetId="1" r:id="rId2"/>
    <sheet name="宿管" sheetId="2" r:id="rId3"/>
    <sheet name="加工站" sheetId="3" r:id="rId4"/>
    <sheet name="发电站" sheetId="4" r:id="rId5"/>
    <sheet name="会客室" sheetId="5" r:id="rId6"/>
    <sheet name="办公室" sheetId="6" r:id="rId7"/>
    <sheet name="感知信息人间烟火" sheetId="11" r:id="rId8"/>
    <sheet name="贸易站干员替换" sheetId="12" r:id="rId9"/>
    <sheet name="制造站干员替换" sheetId="13" r:id="rId10"/>
    <sheet name="特殊效率计算" sheetId="14"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<sst xmlns="http://schemas.openxmlformats.org/spreadsheetml/2006/main" count="1074" uniqueCount="783">
  <si>
    <t>本表格只作统计，并非推荐！</t>
  </si>
  <si>
    <t>使用前请看表头备注，本表格为个人制作，难免有错误和疏漏，可反馈会抓紧时间修改，</t>
  </si>
  <si>
    <r>
      <rPr>
        <sz val="24"/>
        <color theme="1"/>
        <rFont val="微软雅黑"/>
        <charset val="134"/>
      </rPr>
      <t>发电站、会客室、办公室排序逻辑：优先按照</t>
    </r>
    <r>
      <rPr>
        <b/>
        <sz val="24"/>
        <color theme="1"/>
        <rFont val="微软雅黑"/>
        <charset val="134"/>
      </rPr>
      <t>实际效率降序</t>
    </r>
    <r>
      <rPr>
        <sz val="24"/>
        <color theme="1"/>
        <rFont val="微软雅黑"/>
        <charset val="134"/>
      </rPr>
      <t>，其次按照</t>
    </r>
    <r>
      <rPr>
        <b/>
        <sz val="24"/>
        <color theme="1"/>
        <rFont val="微软雅黑"/>
        <charset val="134"/>
      </rPr>
      <t>材料开销升序</t>
    </r>
    <r>
      <rPr>
        <sz val="24"/>
        <color theme="1"/>
        <rFont val="微软雅黑"/>
        <charset val="134"/>
      </rPr>
      <t>，</t>
    </r>
    <r>
      <rPr>
        <b/>
        <sz val="24"/>
        <color theme="1"/>
        <rFont val="微软雅黑"/>
        <charset val="134"/>
      </rPr>
      <t>未考虑心情消耗</t>
    </r>
    <r>
      <rPr>
        <sz val="24"/>
        <color theme="1"/>
        <rFont val="微软雅黑"/>
        <charset val="134"/>
      </rPr>
      <t>，请自行斟酌</t>
    </r>
  </si>
  <si>
    <r>
      <rPr>
        <sz val="24"/>
        <color theme="1"/>
        <rFont val="微软雅黑"/>
        <charset val="134"/>
      </rPr>
      <t>材料开销数据来源：</t>
    </r>
    <r>
      <rPr>
        <b/>
        <sz val="24"/>
        <color theme="1"/>
        <rFont val="微软雅黑"/>
        <charset val="134"/>
      </rPr>
      <t>ark.yituliu.cn</t>
    </r>
    <r>
      <rPr>
        <sz val="24"/>
        <color theme="1"/>
        <rFont val="微软雅黑"/>
        <charset val="134"/>
      </rPr>
      <t>，上次获取数据日期：2026/8/1，制表人：Nspace#5771</t>
    </r>
  </si>
  <si>
    <t>新手基建干员</t>
  </si>
  <si>
    <t>本表格只列举效率合格的低星低练度即可使用的基建干员，贸易站&gt;25%，制造站&gt;20%或特殊组合，发电站&gt;10%</t>
  </si>
  <si>
    <t>设施</t>
  </si>
  <si>
    <t>效率</t>
  </si>
  <si>
    <t>干员</t>
  </si>
  <si>
    <t>技能生效条件&amp;备注</t>
  </si>
  <si>
    <t>获取途径</t>
  </si>
  <si>
    <t>分支</t>
  </si>
  <si>
    <t>贸易站</t>
  </si>
  <si>
    <r>
      <rPr>
        <sz val="11"/>
        <color theme="1"/>
        <rFont val="微软雅黑"/>
        <charset val="134"/>
      </rPr>
      <t>40%</t>
    </r>
    <r>
      <rPr>
        <sz val="11"/>
        <color rgb="FFFF0000"/>
        <rFont val="微软雅黑"/>
        <charset val="134"/>
      </rPr>
      <t>↓</t>
    </r>
  </si>
  <si>
    <t>孑</t>
  </si>
  <si>
    <t>孑组核心，精0时效率递减，但十分不建议精1</t>
  </si>
  <si>
    <t>特种</t>
  </si>
  <si>
    <t>石英Ⅰ</t>
  </si>
  <si>
    <t>红票商店</t>
  </si>
  <si>
    <t>近卫</t>
  </si>
  <si>
    <t>空爆</t>
  </si>
  <si>
    <t>心情消耗-0.25</t>
  </si>
  <si>
    <t>狙击</t>
  </si>
  <si>
    <t>月见夜</t>
  </si>
  <si>
    <t>古米</t>
  </si>
  <si>
    <t>重装</t>
  </si>
  <si>
    <t>夜刀</t>
  </si>
  <si>
    <t>先锋</t>
  </si>
  <si>
    <t>慕斯</t>
  </si>
  <si>
    <t>芬Ⅰ</t>
  </si>
  <si>
    <t>缠丸Ⅰ</t>
  </si>
  <si>
    <t>安比尔Ⅰ</t>
  </si>
  <si>
    <t>通用制造站</t>
  </si>
  <si>
    <r>
      <rPr>
        <sz val="11"/>
        <color theme="1"/>
        <rFont val="微软雅黑"/>
        <charset val="134"/>
      </rPr>
      <t>30%</t>
    </r>
    <r>
      <rPr>
        <sz val="11"/>
        <color rgb="FFFF0000"/>
        <rFont val="微软雅黑"/>
        <charset val="134"/>
      </rPr>
      <t>↓</t>
    </r>
  </si>
  <si>
    <t>铅踝</t>
  </si>
  <si>
    <t>无额外心情消耗3级制造站时
工作12小时平均效率为27.56%
工作24小时平均效率为22.69%
精1后工作24小时平均效率为25%</t>
  </si>
  <si>
    <t>香草</t>
  </si>
  <si>
    <t>杰西卡</t>
  </si>
  <si>
    <t>泡普卡</t>
  </si>
  <si>
    <t>容量上限-12，心情消耗+0.25</t>
  </si>
  <si>
    <t>史都华德Ⅰ</t>
  </si>
  <si>
    <t>术士</t>
  </si>
  <si>
    <t>调香师Ⅰ</t>
  </si>
  <si>
    <t>医疗</t>
  </si>
  <si>
    <t>罗比菈塔Ⅰ</t>
  </si>
  <si>
    <t>辅助</t>
  </si>
  <si>
    <t>20%~25%</t>
  </si>
  <si>
    <t>芬</t>
  </si>
  <si>
    <t>工作24小时平均效率为24.375%</t>
  </si>
  <si>
    <t>15%~25%</t>
  </si>
  <si>
    <t>克洛丝</t>
  </si>
  <si>
    <t>工作24小时平均效率为23.75%</t>
  </si>
  <si>
    <t>红云Ⅰ</t>
  </si>
  <si>
    <t>红云组核心，一般制造经验</t>
  </si>
  <si>
    <t>泡泡Ⅰ</t>
  </si>
  <si>
    <t>泡泡组核心，推荐与火神Ⅱ搭配使用</t>
  </si>
  <si>
    <t>赤金制造站</t>
  </si>
  <si>
    <t>清流Ⅰ</t>
  </si>
  <si>
    <t>效率 = 20%*贸易站数量，可与自动化组搭配使用</t>
  </si>
  <si>
    <t>公开招募</t>
  </si>
  <si>
    <t>砾Ⅰ</t>
  </si>
  <si>
    <t>夜烟</t>
  </si>
  <si>
    <t>斑点Ⅰ</t>
  </si>
  <si>
    <t>经验制造站</t>
  </si>
  <si>
    <t>断罪者Ⅰ</t>
  </si>
  <si>
    <t>愚人节赠送</t>
  </si>
  <si>
    <t>红豆</t>
  </si>
  <si>
    <t>Castle-3</t>
  </si>
  <si>
    <t>满级解锁技能</t>
  </si>
  <si>
    <t>白雪Ⅰ</t>
  </si>
  <si>
    <t>霜叶Ⅰ</t>
  </si>
  <si>
    <t>发电站</t>
  </si>
  <si>
    <t>格雷伊</t>
  </si>
  <si>
    <t>布丁</t>
  </si>
  <si>
    <t>阿消Ⅰ</t>
  </si>
  <si>
    <t>深靛Ⅰ</t>
  </si>
  <si>
    <t>无练度深靛也有10%，可以凑合用</t>
  </si>
  <si>
    <t>GALLUS2</t>
  </si>
  <si>
    <t>满级解锁技能，技能条件：其他小车进驻发电站</t>
  </si>
  <si>
    <t>会客室</t>
  </si>
  <si>
    <t>跃跃Ⅰ</t>
  </si>
  <si>
    <t>线索交流期间，精2进一步提升效率</t>
  </si>
  <si>
    <t>办公室</t>
  </si>
  <si>
    <t>地灵Ⅰ</t>
  </si>
  <si>
    <r>
      <rPr>
        <sz val="11"/>
        <color rgb="FFFF0000"/>
        <rFont val="微软雅黑"/>
        <charset val="134"/>
      </rPr>
      <t>心情消耗+2</t>
    </r>
    <r>
      <rPr>
        <sz val="11"/>
        <rFont val="微软雅黑"/>
        <charset val="134"/>
      </rPr>
      <t>，通常8.727小时掉完心情</t>
    </r>
  </si>
  <si>
    <t>控制中枢</t>
  </si>
  <si>
    <t>7%贸易</t>
  </si>
  <si>
    <t>阿米娅</t>
  </si>
  <si>
    <t>2%制造</t>
  </si>
  <si>
    <t>布丁Ⅰ</t>
  </si>
  <si>
    <t>2台以上小车进驻发电站</t>
  </si>
  <si>
    <t>赠送干员</t>
  </si>
  <si>
    <t>31%制造</t>
  </si>
  <si>
    <t>贝娜</t>
  </si>
  <si>
    <t>只能用在泡泡组</t>
  </si>
  <si>
    <t>灯火序曲故事集</t>
  </si>
  <si>
    <t>30%赤金</t>
  </si>
  <si>
    <t>苍苔</t>
  </si>
  <si>
    <t>精2后苍苔组核心</t>
  </si>
  <si>
    <t>火山旅梦SS</t>
  </si>
  <si>
    <t>30%经验</t>
  </si>
  <si>
    <t>机械师</t>
  </si>
  <si>
    <t>精2进一步提升平均效率</t>
  </si>
  <si>
    <t>黑流树海集成战略</t>
  </si>
  <si>
    <t>宿管</t>
  </si>
  <si>
    <r>
      <rPr>
        <sz val="11"/>
        <color theme="1"/>
        <rFont val="微软雅黑"/>
        <charset val="134"/>
      </rPr>
      <t>只统计单回+群回宿管，同类技能取最高，不同类技能相互叠加。</t>
    </r>
    <r>
      <rPr>
        <b/>
        <sz val="11"/>
        <color theme="1"/>
        <rFont val="微软雅黑"/>
        <charset val="134"/>
      </rPr>
      <t>默认数值以243布局计算</t>
    </r>
  </si>
  <si>
    <t>效果</t>
  </si>
  <si>
    <t>备注</t>
  </si>
  <si>
    <t>群回</t>
  </si>
  <si>
    <t>隐德来希Ⅱ</t>
  </si>
  <si>
    <t>满级办公室，否则为0.1+0.1(n-1)</t>
  </si>
  <si>
    <t>流明Ⅱ</t>
  </si>
  <si>
    <t>3发电站，否则为0.15+0.05n</t>
  </si>
  <si>
    <t>响石Ⅱ</t>
  </si>
  <si>
    <t>满级宿舍，否则为0.15+0.02n</t>
  </si>
  <si>
    <t>斥罪Ⅱ</t>
  </si>
  <si>
    <t>满级办公室，否则为0.15+0.05(n-1)</t>
  </si>
  <si>
    <t>杜林（30级）</t>
  </si>
  <si>
    <t>余</t>
  </si>
  <si>
    <t>额外3名岁挂件</t>
  </si>
  <si>
    <t>纯烬艾雅法拉Ⅱ</t>
  </si>
  <si>
    <t>额外3名行医挂件</t>
  </si>
  <si>
    <t>妮芙Ⅱ/医生Ⅱ/温米Ⅱ/安比尔/夜莺Ⅱ/凛冬Ⅱ</t>
  </si>
  <si>
    <t>波卜Ⅱ</t>
  </si>
  <si>
    <r>
      <rPr>
        <sz val="11"/>
        <color theme="1"/>
        <rFont val="微软雅黑"/>
        <charset val="134"/>
      </rPr>
      <t>每有1名心情未满的干员，</t>
    </r>
    <r>
      <rPr>
        <sz val="11"/>
        <color rgb="FF00B050"/>
        <rFont val="微软雅黑"/>
        <charset val="134"/>
      </rPr>
      <t>额外+0.01</t>
    </r>
  </si>
  <si>
    <t>塑心Ⅱ</t>
  </si>
  <si>
    <r>
      <rPr>
        <sz val="11"/>
        <color theme="1"/>
        <rFont val="微软雅黑"/>
        <charset val="134"/>
      </rPr>
      <t>每有5点无声共鸣，</t>
    </r>
    <r>
      <rPr>
        <sz val="11"/>
        <color rgb="FF00B050"/>
        <rFont val="微软雅黑"/>
        <charset val="134"/>
      </rPr>
      <t>额外+0.01</t>
    </r>
  </si>
  <si>
    <t>推进之王Ⅱ</t>
  </si>
  <si>
    <r>
      <rPr>
        <sz val="11"/>
        <color theme="1"/>
        <rFont val="微软雅黑"/>
        <charset val="134"/>
      </rPr>
      <t>摩根进驻宿舍，推进之王宿舍中格拉斯哥帮干员</t>
    </r>
    <r>
      <rPr>
        <sz val="11"/>
        <color rgb="FF00B050"/>
        <rFont val="微软雅黑"/>
        <charset val="134"/>
      </rPr>
      <t>额外+0.3</t>
    </r>
  </si>
  <si>
    <t>遥/小满Ⅱ/波登可Ⅰ/桃金娘Ⅰ/空/阿米娅Ⅱ</t>
  </si>
  <si>
    <t>撷英调香师</t>
  </si>
  <si>
    <r>
      <rPr>
        <sz val="11"/>
        <color theme="1"/>
        <rFont val="微软雅黑"/>
        <charset val="134"/>
      </rPr>
      <t>精2后心情20以下</t>
    </r>
    <r>
      <rPr>
        <sz val="11"/>
        <color rgb="FF00B050"/>
        <rFont val="微软雅黑"/>
        <charset val="134"/>
      </rPr>
      <t>额外+0.1</t>
    </r>
  </si>
  <si>
    <t>森西</t>
  </si>
  <si>
    <r>
      <rPr>
        <sz val="11"/>
        <color theme="1"/>
        <rFont val="微软雅黑"/>
        <charset val="134"/>
      </rPr>
      <t>莱欧斯小队干员</t>
    </r>
    <r>
      <rPr>
        <sz val="11"/>
        <color rgb="FF00B050"/>
        <rFont val="微软雅黑"/>
        <charset val="134"/>
      </rPr>
      <t>额外+0.15</t>
    </r>
  </si>
  <si>
    <t>刺枚</t>
  </si>
  <si>
    <r>
      <rPr>
        <sz val="11"/>
        <color theme="1"/>
        <rFont val="微软雅黑"/>
        <charset val="134"/>
      </rPr>
      <t>精2后心情18以下</t>
    </r>
    <r>
      <rPr>
        <sz val="11"/>
        <color rgb="FF00B050"/>
        <rFont val="微软雅黑"/>
        <charset val="134"/>
      </rPr>
      <t>额外+0.1</t>
    </r>
  </si>
  <si>
    <t>缪尔赛思/远牙/爱丽丝/四月/风笛/赫拉格Ⅰ</t>
  </si>
  <si>
    <t>单回</t>
  </si>
  <si>
    <t>闪灵Ⅱ</t>
  </si>
  <si>
    <t>聆音/蜜莓Ⅱ/琴柳/断罪者</t>
  </si>
  <si>
    <t>车尔尼/波登可Ⅰ</t>
  </si>
  <si>
    <t>Lancet-2（30级）</t>
  </si>
  <si>
    <t>小满/流星Ⅰ/末药Ⅰ/安塞尔/芙蓉</t>
  </si>
  <si>
    <t>罗德岛隐秘队</t>
  </si>
  <si>
    <r>
      <rPr>
        <sz val="11"/>
        <color theme="1"/>
        <rFont val="微软雅黑"/>
        <charset val="134"/>
      </rPr>
      <t>怪猎联动干员</t>
    </r>
    <r>
      <rPr>
        <sz val="11"/>
        <color rgb="FF00B050"/>
        <rFont val="微软雅黑"/>
        <charset val="134"/>
      </rPr>
      <t>额外+0.45</t>
    </r>
  </si>
  <si>
    <t>新约能天使</t>
  </si>
  <si>
    <r>
      <rPr>
        <sz val="11"/>
        <color theme="1"/>
        <rFont val="微软雅黑"/>
        <charset val="134"/>
      </rPr>
      <t>精2后拉特兰干员</t>
    </r>
    <r>
      <rPr>
        <sz val="11"/>
        <color rgb="FF00B050"/>
        <rFont val="微软雅黑"/>
        <charset val="134"/>
      </rPr>
      <t>额外+0.45</t>
    </r>
  </si>
  <si>
    <t>寒檀</t>
  </si>
  <si>
    <r>
      <rPr>
        <sz val="11"/>
        <color theme="1"/>
        <rFont val="微软雅黑"/>
        <charset val="134"/>
      </rPr>
      <t>萨米干员</t>
    </r>
    <r>
      <rPr>
        <sz val="11"/>
        <color rgb="FF00B050"/>
        <rFont val="微软雅黑"/>
        <charset val="134"/>
      </rPr>
      <t>额外+0.45</t>
    </r>
  </si>
  <si>
    <t>深靛</t>
  </si>
  <si>
    <r>
      <rPr>
        <sz val="11"/>
        <color theme="1"/>
        <rFont val="微软雅黑"/>
        <charset val="134"/>
      </rPr>
      <t>蓝毒</t>
    </r>
    <r>
      <rPr>
        <sz val="11"/>
        <color rgb="FF00B050"/>
        <rFont val="微软雅黑"/>
        <charset val="134"/>
      </rPr>
      <t>额外+0.45</t>
    </r>
  </si>
  <si>
    <t>特米米</t>
  </si>
  <si>
    <r>
      <rPr>
        <sz val="11"/>
        <color theme="1"/>
        <rFont val="微软雅黑"/>
        <charset val="134"/>
      </rPr>
      <t>嘉维尔</t>
    </r>
    <r>
      <rPr>
        <sz val="11"/>
        <color rgb="FF00B050"/>
        <rFont val="微软雅黑"/>
        <charset val="134"/>
      </rPr>
      <t>额外+0.45</t>
    </r>
  </si>
  <si>
    <t>黑</t>
  </si>
  <si>
    <r>
      <rPr>
        <sz val="11"/>
        <color theme="1"/>
        <rFont val="微软雅黑"/>
        <charset val="134"/>
      </rPr>
      <t>锡兰</t>
    </r>
    <r>
      <rPr>
        <sz val="11"/>
        <color rgb="FF00B050"/>
        <rFont val="微软雅黑"/>
        <charset val="134"/>
      </rPr>
      <t>额外+0.45</t>
    </r>
  </si>
  <si>
    <t>初雪/临光Ⅱ</t>
  </si>
  <si>
    <t>隐现Ⅱ/泡普卡Ⅰ</t>
  </si>
  <si>
    <t>酸糖Ⅰ/暴行Ⅱ/古米Ⅰ</t>
  </si>
  <si>
    <t>慕斯Ⅰ</t>
  </si>
  <si>
    <t>崖心</t>
  </si>
  <si>
    <t>杰克/卡缇Ⅰ/米格鲁Ⅰ</t>
  </si>
  <si>
    <t>特殊</t>
  </si>
  <si>
    <t>冰酿Ⅱ</t>
  </si>
  <si>
    <t>0.8平均分配，技能效果较为特殊：
宿舍内有多个心情不满的干员时，为群回宿管；
只有一个心情不满的干员时，为单回宿管。
菲亚梅塔自身不受冰酿影响，但心情不满时会分摊冰酿效果</t>
  </si>
  <si>
    <t>条件</t>
  </si>
  <si>
    <t>心情&amp;备注</t>
  </si>
  <si>
    <t>任意类</t>
  </si>
  <si>
    <t>凯尔希·思衡托Ⅱ</t>
  </si>
  <si>
    <t>凯尔希·思衡托</t>
  </si>
  <si>
    <t>凯尔希</t>
  </si>
  <si>
    <t>蒂比</t>
  </si>
  <si>
    <t>精2后心情消耗为2的配方全部-1心情消耗</t>
  </si>
  <si>
    <t>万顷</t>
  </si>
  <si>
    <t>精2后心情消耗为4的配方全部-1心情消耗</t>
  </si>
  <si>
    <t>洛洛</t>
  </si>
  <si>
    <t>梅尔</t>
  </si>
  <si>
    <t>凯瑟琳Ⅱ</t>
  </si>
  <si>
    <t>白铁进驻宿舍</t>
  </si>
  <si>
    <t>心情消耗为4以上的配方全部-2心情消耗</t>
  </si>
  <si>
    <t>艾丝黛尔</t>
  </si>
  <si>
    <t>深海色Ⅰ</t>
  </si>
  <si>
    <t>巡林者（30级）</t>
  </si>
  <si>
    <t>凯瑟琳</t>
  </si>
  <si>
    <t>休谟斯</t>
  </si>
  <si>
    <t>罗小黑</t>
  </si>
  <si>
    <t>心情消耗为8</t>
  </si>
  <si>
    <t>精1后心情消耗为2</t>
  </si>
  <si>
    <t>霜华Ⅱ</t>
  </si>
  <si>
    <r>
      <rPr>
        <sz val="11"/>
        <color theme="1"/>
        <rFont val="微软雅黑"/>
        <charset val="134"/>
      </rPr>
      <t>灰烬Ⅱ进驻控制中枢且控制中枢全员彩虹小队</t>
    </r>
    <r>
      <rPr>
        <sz val="11"/>
        <color rgb="FFFF0000"/>
        <rFont val="微软雅黑"/>
        <charset val="134"/>
      </rPr>
      <t xml:space="preserve">额外+25%
</t>
    </r>
    <r>
      <rPr>
        <sz val="11"/>
        <rFont val="微软雅黑"/>
        <charset val="134"/>
      </rPr>
      <t>战车Ⅱ进驻控制中枢且控制中枢全员乌萨斯学生自治团</t>
    </r>
    <r>
      <rPr>
        <sz val="11"/>
        <color rgb="FFFF0000"/>
        <rFont val="微软雅黑"/>
        <charset val="134"/>
      </rPr>
      <t>额外+15%</t>
    </r>
  </si>
  <si>
    <t>棘刺</t>
  </si>
  <si>
    <t>每2次加工没有产出副产品，则恢复自身一次心情，恢复量为对应配方所需消耗的心情（加工结束后统一结算）</t>
  </si>
  <si>
    <t>吽</t>
  </si>
  <si>
    <t>麦哲伦</t>
  </si>
  <si>
    <t>格雷伊Ⅰ</t>
  </si>
  <si>
    <t>斑点</t>
  </si>
  <si>
    <t>安德切尔Ⅰ</t>
  </si>
  <si>
    <t>砾</t>
  </si>
  <si>
    <t>玫兰莎Ⅰ</t>
  </si>
  <si>
    <t>基建材料</t>
  </si>
  <si>
    <t>煌Ⅰ</t>
  </si>
  <si>
    <t>青枳</t>
  </si>
  <si>
    <t>精2后心情消耗为4的配方全部-2心情消耗</t>
  </si>
  <si>
    <t>莱恩哈特</t>
  </si>
  <si>
    <t>罗比菈塔</t>
  </si>
  <si>
    <t>松果</t>
  </si>
  <si>
    <t>精1后心情消耗为2的配方全部-1心情消耗</t>
  </si>
  <si>
    <t>阿消</t>
  </si>
  <si>
    <t>精英材料</t>
  </si>
  <si>
    <t>白铁Ⅱ</t>
  </si>
  <si>
    <t>宿舍全员心情12以下</t>
  </si>
  <si>
    <t>心情消耗为4的配方心情消耗全部-1</t>
  </si>
  <si>
    <t>芳汀</t>
  </si>
  <si>
    <t>宿舍全员心情4以下</t>
  </si>
  <si>
    <t>芳汀Ⅰ</t>
  </si>
  <si>
    <t>宿舍全员心情20以下</t>
  </si>
  <si>
    <t>年</t>
  </si>
  <si>
    <t>全部+2心情消耗</t>
  </si>
  <si>
    <t>休谟斯Ⅰ</t>
  </si>
  <si>
    <t>心情消耗为2</t>
  </si>
  <si>
    <t>矩Ⅱ</t>
  </si>
  <si>
    <t>缇缇Ⅱ</t>
  </si>
  <si>
    <t>心情消耗为8的配方全部-4心情消耗</t>
  </si>
  <si>
    <t>莱伊Ⅱ</t>
  </si>
  <si>
    <t>产出T3品质的副产品时，副产品必定为固源岩组</t>
  </si>
  <si>
    <t>止颂Ⅱ</t>
  </si>
  <si>
    <t>心情消耗恒定为3</t>
  </si>
  <si>
    <t>蚀清Ⅱ</t>
  </si>
  <si>
    <t>产出T3品质的副产品时，副产品必定为异铁组</t>
  </si>
  <si>
    <t>蜜莓Ⅱ</t>
  </si>
  <si>
    <t>苏苏洛Ⅰ</t>
  </si>
  <si>
    <t>锡兰</t>
  </si>
  <si>
    <t>陨星Ⅱ</t>
  </si>
  <si>
    <t>蓝毒Ⅱ</t>
  </si>
  <si>
    <t>空爆Ⅰ</t>
  </si>
  <si>
    <t>缇缇</t>
  </si>
  <si>
    <t>天空盒</t>
  </si>
  <si>
    <t>诺威尔</t>
  </si>
  <si>
    <t>莱伊</t>
  </si>
  <si>
    <t>掠风</t>
  </si>
  <si>
    <t>蚀清</t>
  </si>
  <si>
    <t>蜜莓</t>
  </si>
  <si>
    <t>亚叶</t>
  </si>
  <si>
    <t>慑砂Ⅱ</t>
  </si>
  <si>
    <t>心情消耗为4的配方全部-2心情消耗</t>
  </si>
  <si>
    <t>陨星</t>
  </si>
  <si>
    <t>蓝毒</t>
  </si>
  <si>
    <t>嘉维尔</t>
  </si>
  <si>
    <t>调香师</t>
  </si>
  <si>
    <t>末药</t>
  </si>
  <si>
    <t>安赛尔Ⅰ</t>
  </si>
  <si>
    <t>云迹</t>
  </si>
  <si>
    <t>露托Ⅰ</t>
  </si>
  <si>
    <t>心情消耗为2的配方全部-1心情消耗</t>
  </si>
  <si>
    <t>芙蓉Ⅰ</t>
  </si>
  <si>
    <t>洛洛Ⅱ</t>
  </si>
  <si>
    <t>产出T3品质的副产品时，副产品必定为聚酸酯组</t>
  </si>
  <si>
    <t>矩</t>
  </si>
  <si>
    <t>心情消耗为8以上的配方全部-2心情消耗</t>
  </si>
  <si>
    <t>瑕光Ⅱ</t>
  </si>
  <si>
    <t>心情消耗为8以上的配方全部-4心情消耗，减免龙门币消耗</t>
  </si>
  <si>
    <t>瑕光</t>
  </si>
  <si>
    <t>减免龙门币消耗</t>
  </si>
  <si>
    <t>精英材料特化</t>
  </si>
  <si>
    <t>谬因Ⅱ</t>
  </si>
  <si>
    <t>源岩类</t>
  </si>
  <si>
    <t>折桠Ⅱ</t>
  </si>
  <si>
    <t>异铁组</t>
  </si>
  <si>
    <t>心情消耗为1</t>
  </si>
  <si>
    <t>特克诺Ⅱ</t>
  </si>
  <si>
    <t>晶体类</t>
  </si>
  <si>
    <t>全部心情消耗-1</t>
  </si>
  <si>
    <t>维荻Ⅰ</t>
  </si>
  <si>
    <t>酮凝集类</t>
  </si>
  <si>
    <t>号角Ⅱ</t>
  </si>
  <si>
    <t>炽合金块</t>
  </si>
  <si>
    <t>心情消耗为3</t>
  </si>
  <si>
    <t>熔泉Ⅱ</t>
  </si>
  <si>
    <t>异铁类</t>
  </si>
  <si>
    <t>心情消耗为4的配方全部-1心情消耗</t>
  </si>
  <si>
    <t>泥岩Ⅱ</t>
  </si>
  <si>
    <t>心情消耗恒定为2</t>
  </si>
  <si>
    <t>奥斯塔Ⅱ</t>
  </si>
  <si>
    <t>聚酸酯类</t>
  </si>
  <si>
    <t>贾维Ⅱ</t>
  </si>
  <si>
    <t>装置类</t>
  </si>
  <si>
    <t>技巧概要</t>
  </si>
  <si>
    <t>司霆惊蛰Ⅱ</t>
  </si>
  <si>
    <t>子月Ⅱ</t>
  </si>
  <si>
    <t>炎客Ⅱ</t>
  </si>
  <si>
    <t>赫拉格</t>
  </si>
  <si>
    <t>伯塔尼Ⅱ</t>
  </si>
  <si>
    <t>弑君者</t>
  </si>
  <si>
    <t>羽毛笔Ⅱ</t>
  </si>
  <si>
    <t>炎客</t>
  </si>
  <si>
    <t>暴行</t>
  </si>
  <si>
    <t>缠丸</t>
  </si>
  <si>
    <t>芯片</t>
  </si>
  <si>
    <t>风笛Ⅱ</t>
  </si>
  <si>
    <t>时隙</t>
  </si>
  <si>
    <t>刻刀</t>
  </si>
  <si>
    <t>猎蜂Ⅰ</t>
  </si>
  <si>
    <t>12F（30级）</t>
  </si>
  <si>
    <t>请输入文本</t>
  </si>
  <si>
    <t>九色鹿</t>
  </si>
  <si>
    <t>技能太过复杂，请自行了解技能和使用方法</t>
  </si>
  <si>
    <t>发电站干员效率一览</t>
  </si>
  <si>
    <t>材料开销</t>
  </si>
  <si>
    <t>缪尔赛思Ⅱ</t>
  </si>
  <si>
    <t>额外5名莱茵生命挂件</t>
  </si>
  <si>
    <t>承曦格雷伊</t>
  </si>
  <si>
    <t>基建全部清理</t>
  </si>
  <si>
    <t>炎狱炎熔Ⅱ</t>
  </si>
  <si>
    <t>海霓Ⅱ</t>
  </si>
  <si>
    <t>菲莱Ⅱ</t>
  </si>
  <si>
    <t>宿舍全满级</t>
  </si>
  <si>
    <t>天空盒Ⅱ</t>
  </si>
  <si>
    <t>雷蛇Ⅱ</t>
  </si>
  <si>
    <t>时隙Ⅱ</t>
  </si>
  <si>
    <t>澄闪Ⅱ</t>
  </si>
  <si>
    <t>烛煌Ⅱ</t>
  </si>
  <si>
    <t>空构Ⅱ</t>
  </si>
  <si>
    <r>
      <rPr>
        <sz val="11"/>
        <color rgb="FFFF0000"/>
        <rFont val="微软雅黑"/>
        <charset val="134"/>
      </rPr>
      <t>5小时暖机</t>
    </r>
    <r>
      <rPr>
        <sz val="11"/>
        <color theme="1"/>
        <rFont val="微软雅黑"/>
        <charset val="134"/>
      </rPr>
      <t>，</t>
    </r>
    <r>
      <rPr>
        <sz val="11"/>
        <color rgb="FF00B050"/>
        <rFont val="微软雅黑"/>
        <charset val="134"/>
      </rPr>
      <t>心情消耗-0.3</t>
    </r>
  </si>
  <si>
    <t>清流</t>
  </si>
  <si>
    <t>GALLUS^2（30级）</t>
  </si>
  <si>
    <t>其他作业平台进驻在发电站</t>
  </si>
  <si>
    <t>CONFESS-47（30级）</t>
  </si>
  <si>
    <t>其他拉特兰干员（空构）进驻在发电站</t>
  </si>
  <si>
    <t>PhonoR-0（30级）</t>
  </si>
  <si>
    <t>逻各斯进驻在训练室协助位</t>
  </si>
  <si>
    <t>Friston-3（30级）</t>
  </si>
  <si>
    <t>凯尔希进驻控制中枢</t>
  </si>
  <si>
    <t>协律Ⅰ</t>
  </si>
  <si>
    <t>格劳克斯Ⅱ</t>
  </si>
  <si>
    <t>异客Ⅱ</t>
  </si>
  <si>
    <t>伊芙利特Ⅱ</t>
  </si>
  <si>
    <t>司霆惊蛰</t>
  </si>
  <si>
    <t>正义骑士号</t>
  </si>
  <si>
    <t>THRM-EX</t>
  </si>
  <si>
    <r>
      <rPr>
        <sz val="11"/>
        <color theme="1"/>
        <rFont val="微软雅黑"/>
        <charset val="134"/>
      </rPr>
      <t>30级后</t>
    </r>
    <r>
      <rPr>
        <sz val="11"/>
        <color rgb="FF00B050"/>
        <rFont val="微软雅黑"/>
        <charset val="134"/>
      </rPr>
      <t>心情消耗-0.52</t>
    </r>
  </si>
  <si>
    <t>煌</t>
  </si>
  <si>
    <t>炎熔</t>
  </si>
  <si>
    <t>Lancet-2</t>
  </si>
  <si>
    <t>会客室干员效率一览</t>
  </si>
  <si>
    <t>会客室效率计算方式</t>
  </si>
  <si>
    <t>此处实际效率=纸面效率+稀有度+精英阶段（纸面效率为该干员通常时最高效率，红字额外效率没有计算，非涣散加成没有计算）</t>
  </si>
  <si>
    <t>数据来源：https://prts.wiki/w/罗德岛基建/会客室#线索搜集速度</t>
  </si>
  <si>
    <t>稀有度</t>
  </si>
  <si>
    <t>纸面效率</t>
  </si>
  <si>
    <t>实际效率</t>
  </si>
  <si>
    <t>线索倾向</t>
  </si>
  <si>
    <t>心情</t>
  </si>
  <si>
    <t>条件&amp;备注</t>
  </si>
  <si>
    <t>宿舍氛围累计加成</t>
  </si>
  <si>
    <t>进驻干员稀有度</t>
  </si>
  <si>
    <t>进驻干员精英阶段</t>
  </si>
  <si>
    <t>会客室等级</t>
  </si>
  <si>
    <t>非涣散加成</t>
  </si>
  <si>
    <t>跃跃</t>
  </si>
  <si>
    <t>处于线索交流</t>
  </si>
  <si>
    <t>加成</t>
  </si>
  <si>
    <t>见行者</t>
  </si>
  <si>
    <t>+2</t>
  </si>
  <si>
    <t>0~</t>
  </si>
  <si>
    <t>—</t>
  </si>
  <si>
    <t>1~3★</t>
  </si>
  <si>
    <t>精英0</t>
  </si>
  <si>
    <t>信仰搅拌机</t>
  </si>
  <si>
    <t>菲亚梅塔进驻宿舍</t>
  </si>
  <si>
    <t>2000~</t>
  </si>
  <si>
    <t>4★</t>
  </si>
  <si>
    <t>精英1</t>
  </si>
  <si>
    <t>伊内丝</t>
  </si>
  <si>
    <r>
      <rPr>
        <sz val="11"/>
        <color rgb="FFFF0000"/>
        <rFont val="微软雅黑"/>
        <charset val="134"/>
      </rPr>
      <t>5小时暖机</t>
    </r>
    <r>
      <rPr>
        <sz val="11"/>
        <color theme="1"/>
        <rFont val="微软雅黑"/>
        <charset val="134"/>
      </rPr>
      <t>（工作24h平均效率为49.75%）
维什戴尔进驻控制中枢，</t>
    </r>
    <r>
      <rPr>
        <sz val="11"/>
        <color rgb="FFFF0000"/>
        <rFont val="微软雅黑"/>
        <charset val="134"/>
      </rPr>
      <t>额外+5%</t>
    </r>
  </si>
  <si>
    <t>3000~</t>
  </si>
  <si>
    <t>5★</t>
  </si>
  <si>
    <t>精英2</t>
  </si>
  <si>
    <t>响石</t>
  </si>
  <si>
    <t>4000~</t>
  </si>
  <si>
    <t>6★</t>
  </si>
  <si>
    <t>莱欧斯</t>
  </si>
  <si>
    <t>森西Ⅱ进驻满级宿舍</t>
  </si>
  <si>
    <t>会客室效率=1+宿舍氛围累计加成+会客室等级加成+进驻干员稀有度/精英阶段/后勤技能加成</t>
  </si>
  <si>
    <t>赤刃明霄陈</t>
  </si>
  <si>
    <t>尚未拥有</t>
  </si>
  <si>
    <t>90~95点人间烟火（当前版本上限95点）</t>
  </si>
  <si>
    <t>陈</t>
  </si>
  <si>
    <t>红</t>
  </si>
  <si>
    <t>星极</t>
  </si>
  <si>
    <t>远山</t>
  </si>
  <si>
    <t>伺夜</t>
  </si>
  <si>
    <t>守林人</t>
  </si>
  <si>
    <t>嘉辛塔</t>
  </si>
  <si>
    <t>行箸</t>
  </si>
  <si>
    <t>断崖</t>
  </si>
  <si>
    <t>杰克</t>
  </si>
  <si>
    <t>宴</t>
  </si>
  <si>
    <t>梅</t>
  </si>
  <si>
    <t>线索2</t>
  </si>
  <si>
    <t>白雪</t>
  </si>
  <si>
    <t>暗索</t>
  </si>
  <si>
    <t>塞雷娅</t>
  </si>
  <si>
    <t>线索1</t>
  </si>
  <si>
    <t>安洁莉娜</t>
  </si>
  <si>
    <t>线索7</t>
  </si>
  <si>
    <t>莫斯提马</t>
  </si>
  <si>
    <t>真理</t>
  </si>
  <si>
    <t>线索4</t>
  </si>
  <si>
    <r>
      <rPr>
        <sz val="11"/>
        <color theme="1"/>
        <rFont val="微软雅黑"/>
        <charset val="134"/>
      </rPr>
      <t>怒潮凛冬Ⅱ进驻控制中枢时</t>
    </r>
    <r>
      <rPr>
        <sz val="11"/>
        <color rgb="FFFF0000"/>
        <rFont val="微软雅黑"/>
        <charset val="134"/>
      </rPr>
      <t>额外+10%</t>
    </r>
  </si>
  <si>
    <t>微风</t>
  </si>
  <si>
    <t>线索5</t>
  </si>
  <si>
    <t>晓歌</t>
  </si>
  <si>
    <t>谜图</t>
  </si>
  <si>
    <t>耶拉</t>
  </si>
  <si>
    <t>线索6</t>
  </si>
  <si>
    <t>因陀罗</t>
  </si>
  <si>
    <t>哈洛德</t>
  </si>
  <si>
    <t>见备注</t>
  </si>
  <si>
    <t>提升另一干员所属派系的线索倾向效果</t>
  </si>
  <si>
    <t>松桐</t>
  </si>
  <si>
    <t>芙兰卡</t>
  </si>
  <si>
    <t>线索3</t>
  </si>
  <si>
    <t>骋风</t>
  </si>
  <si>
    <t>满级办公室</t>
  </si>
  <si>
    <t>讯使</t>
  </si>
  <si>
    <t>双月</t>
  </si>
  <si>
    <r>
      <rPr>
        <sz val="11"/>
        <color theme="1"/>
        <rFont val="微软雅黑"/>
        <charset val="134"/>
      </rPr>
      <t>灰烬Ⅱ进驻控制中枢且控制中枢全员彩虹小队</t>
    </r>
    <r>
      <rPr>
        <sz val="11"/>
        <color rgb="FFFF0000"/>
        <rFont val="微软雅黑"/>
        <charset val="134"/>
      </rPr>
      <t>额外+25%</t>
    </r>
  </si>
  <si>
    <t>山</t>
  </si>
  <si>
    <t>夏栎</t>
  </si>
  <si>
    <t>极境</t>
  </si>
  <si>
    <t>苦艾</t>
  </si>
  <si>
    <t>12F</t>
  </si>
  <si>
    <t>焰狐龙梓兰进驻控制中枢</t>
  </si>
  <si>
    <t>U-Official</t>
  </si>
  <si>
    <t>已经拥有</t>
  </si>
  <si>
    <t>独立干员</t>
  </si>
  <si>
    <t>定义：如果会客室内只有自身处于工作状态时才能提升线索搜集速度的干员</t>
  </si>
  <si>
    <t>作用：可以安排一个红脸挂件在会客室另一位置，降低挂件压力</t>
  </si>
  <si>
    <t>注意：即使是心情涣散该干员的稀有度/精英阶段的效率加成也会生效</t>
  </si>
  <si>
    <t>倾向</t>
  </si>
  <si>
    <t>予愿安洁莉娜</t>
  </si>
  <si>
    <t>和弦</t>
  </si>
  <si>
    <t>风丸</t>
  </si>
  <si>
    <t>霍尔海雅</t>
  </si>
  <si>
    <t>+1</t>
  </si>
  <si>
    <t>奥达</t>
  </si>
  <si>
    <t>复奏</t>
  </si>
  <si>
    <t>组合</t>
  </si>
  <si>
    <t>干员1</t>
  </si>
  <si>
    <t>干员2</t>
  </si>
  <si>
    <t>忍冬</t>
  </si>
  <si>
    <t>铃兰</t>
  </si>
  <si>
    <t>凛视</t>
  </si>
  <si>
    <t>提丰</t>
  </si>
  <si>
    <t>+0.5</t>
  </si>
  <si>
    <t>寻澜</t>
  </si>
  <si>
    <r>
      <rPr>
        <sz val="11"/>
        <color theme="1"/>
        <rFont val="微软雅黑"/>
        <charset val="134"/>
      </rPr>
      <t>提丰</t>
    </r>
    <r>
      <rPr>
        <sz val="11"/>
        <color rgb="FFFF0000"/>
        <rFont val="微软雅黑"/>
        <charset val="134"/>
      </rPr>
      <t>心情消耗+0.5</t>
    </r>
  </si>
  <si>
    <t>其他设施中影响会客室效率的干员统计</t>
  </si>
  <si>
    <t>会客室效率较低，一般会用会客室提高其他设施效率，不会用其他设施提高会客室效率，这里只列出，但不推荐使用</t>
  </si>
  <si>
    <t>老鲤Ⅱ</t>
  </si>
  <si>
    <t>+25%</t>
  </si>
  <si>
    <t>取最高</t>
  </si>
  <si>
    <t>魔王Ⅱ</t>
  </si>
  <si>
    <t>+15%</t>
  </si>
  <si>
    <t>祐天寺若麦Ⅱ</t>
  </si>
  <si>
    <t>+10%</t>
  </si>
  <si>
    <t>维什戴尔</t>
  </si>
  <si>
    <t>伊内斯Ⅱ</t>
  </si>
  <si>
    <r>
      <rPr>
        <sz val="11"/>
        <color theme="1"/>
        <rFont val="微软雅黑"/>
        <charset val="134"/>
      </rPr>
      <t>伊内丝</t>
    </r>
    <r>
      <rPr>
        <sz val="11"/>
        <color rgb="FFFF0000"/>
        <rFont val="微软雅黑"/>
        <charset val="134"/>
      </rPr>
      <t>5小时暖机</t>
    </r>
  </si>
  <si>
    <t>怒潮凛冬Ⅱ</t>
  </si>
  <si>
    <t>真理Ⅱ+苦艾Ⅱ</t>
  </si>
  <si>
    <r>
      <rPr>
        <sz val="11"/>
        <color theme="1"/>
        <rFont val="微软雅黑"/>
        <charset val="134"/>
      </rPr>
      <t>怒潮凛冬</t>
    </r>
    <r>
      <rPr>
        <sz val="11"/>
        <color rgb="FFFF0000"/>
        <rFont val="微软雅黑"/>
        <charset val="134"/>
      </rPr>
      <t>心情消耗+0.5</t>
    </r>
  </si>
  <si>
    <t>惊蛰Ⅱ</t>
  </si>
  <si>
    <t>小幅提升会客室内干员所属派系的线索倾向效果</t>
  </si>
  <si>
    <t>阿</t>
  </si>
  <si>
    <r>
      <rPr>
        <sz val="11"/>
        <color theme="1"/>
        <rFont val="微软雅黑"/>
        <charset val="134"/>
      </rPr>
      <t>提升会客室内干员所属派系的线索倾向效果，
控制中枢内所有干员的</t>
    </r>
    <r>
      <rPr>
        <sz val="11"/>
        <color rgb="FFFF0000"/>
        <rFont val="微软雅黑"/>
        <charset val="134"/>
      </rPr>
      <t>心情消耗+1.5</t>
    </r>
  </si>
  <si>
    <t>海蒂Ⅱ</t>
  </si>
  <si>
    <t>更容易获得线索5</t>
  </si>
  <si>
    <t>艾拉Ⅱ</t>
  </si>
  <si>
    <r>
      <rPr>
        <sz val="11"/>
        <color theme="1"/>
        <rFont val="微软雅黑"/>
        <charset val="134"/>
      </rPr>
      <t>更容易获得线索板上尚未拥有的线索
控制中枢内除自身以外的其余干员</t>
    </r>
    <r>
      <rPr>
        <sz val="11"/>
        <color rgb="FFFF0000"/>
        <rFont val="微软雅黑"/>
        <charset val="134"/>
      </rPr>
      <t>心情消耗+0.25</t>
    </r>
  </si>
  <si>
    <t>摆渡人</t>
  </si>
  <si>
    <t>暂无与其搭配的干员</t>
  </si>
  <si>
    <t>隐现</t>
  </si>
  <si>
    <t>乌有</t>
  </si>
  <si>
    <t>月禾Ⅱ</t>
  </si>
  <si>
    <t>乌啾Ⅱ</t>
  </si>
  <si>
    <t>每产生1次联络次数，增加线索3的概率</t>
  </si>
  <si>
    <t>早露Ⅱ</t>
  </si>
  <si>
    <t>每产生1次联络次数，增加线索4的概率</t>
  </si>
  <si>
    <t>戴菲恩</t>
  </si>
  <si>
    <t>每产生1次联络次数，增加线索5的概率</t>
  </si>
  <si>
    <t>办公室干员效率一览</t>
  </si>
  <si>
    <t>控制中枢中影响办公室效率的干员统计</t>
  </si>
  <si>
    <t>焰狐龙梓兰</t>
  </si>
  <si>
    <t>建议绑死在控制中枢</t>
  </si>
  <si>
    <t>斥罪</t>
  </si>
  <si>
    <t>八幡海铃</t>
  </si>
  <si>
    <t>有5间进驻精英干员的设施</t>
  </si>
  <si>
    <t>琴柳Ⅱ</t>
  </si>
  <si>
    <t>+20%</t>
  </si>
  <si>
    <t>人力办公室联络速度小于30%（其中包含基础联络速度5%）</t>
  </si>
  <si>
    <t>水灯心Ⅱ</t>
  </si>
  <si>
    <t>锡人Ⅱ</t>
  </si>
  <si>
    <t>普罗旺斯Ⅱ</t>
  </si>
  <si>
    <t>艾雅法拉Ⅱ</t>
  </si>
  <si>
    <t>珊比Ⅱ</t>
  </si>
  <si>
    <t>遥Ⅱ</t>
  </si>
  <si>
    <t>圣聆初雪Ⅱ</t>
  </si>
  <si>
    <t>-0.25</t>
  </si>
  <si>
    <t>凛御银灰进驻在控制中枢</t>
  </si>
  <si>
    <t>淬羽赫默</t>
  </si>
  <si>
    <t>酸糖</t>
  </si>
  <si>
    <t>伊桑</t>
  </si>
  <si>
    <t>梓兰</t>
  </si>
  <si>
    <t>夜魔Ⅱ</t>
  </si>
  <si>
    <t>林Ⅱ</t>
  </si>
  <si>
    <t>雪绒Ⅱ</t>
  </si>
  <si>
    <r>
      <rPr>
        <sz val="11"/>
        <color theme="1"/>
        <rFont val="微软雅黑"/>
        <charset val="134"/>
      </rPr>
      <t>满级办公室时</t>
    </r>
    <r>
      <rPr>
        <sz val="11"/>
        <color rgb="FF00B050"/>
        <rFont val="微软雅黑"/>
        <charset val="134"/>
      </rPr>
      <t>心情消耗-0.2</t>
    </r>
  </si>
  <si>
    <t>行箸Ⅱ</t>
  </si>
  <si>
    <t>深律Ⅱ</t>
  </si>
  <si>
    <t>絮雨</t>
  </si>
  <si>
    <t>巡林者</t>
  </si>
  <si>
    <t>桑葚Ⅰ</t>
  </si>
  <si>
    <t>闪击Ⅱ</t>
  </si>
  <si>
    <r>
      <rPr>
        <sz val="11"/>
        <color theme="1"/>
        <rFont val="微软雅黑"/>
        <charset val="134"/>
      </rPr>
      <t>灰烬Ⅱ进驻控制中枢且控制中枢全员彩虹小队</t>
    </r>
    <r>
      <rPr>
        <sz val="11"/>
        <color rgb="FFFF0000"/>
        <rFont val="微软雅黑"/>
        <charset val="134"/>
      </rPr>
      <t>额外+25%</t>
    </r>
    <r>
      <rPr>
        <sz val="11"/>
        <color theme="1"/>
        <rFont val="微软雅黑"/>
        <charset val="134"/>
      </rPr>
      <t xml:space="preserve">
战车Ⅱ进驻控制中枢且控制中枢全员乌萨斯学生自治团</t>
    </r>
    <r>
      <rPr>
        <sz val="11"/>
        <color rgb="FFFF0000"/>
        <rFont val="微软雅黑"/>
        <charset val="134"/>
      </rPr>
      <t>额外+20%</t>
    </r>
  </si>
  <si>
    <t>转化（点数：效率）</t>
  </si>
  <si>
    <t>感知信息，最高90</t>
  </si>
  <si>
    <t>迷迭香Ⅱ</t>
  </si>
  <si>
    <t>制造站</t>
  </si>
  <si>
    <t>宿舍满干员</t>
  </si>
  <si>
    <t>1:1转化成制造</t>
  </si>
  <si>
    <t>黑键Ⅱ</t>
  </si>
  <si>
    <t>2:1转化成贸易</t>
  </si>
  <si>
    <t>絮雨Ⅱ</t>
  </si>
  <si>
    <t>满级办公室，20%办公室效率</t>
  </si>
  <si>
    <t>令Ⅱ</t>
  </si>
  <si>
    <r>
      <rPr>
        <sz val="11"/>
        <color theme="1"/>
        <rFont val="微软雅黑"/>
        <charset val="134"/>
      </rPr>
      <t>心情&lt;12，</t>
    </r>
    <r>
      <rPr>
        <sz val="11"/>
        <color rgb="FF00B050"/>
        <rFont val="微软雅黑"/>
        <charset val="134"/>
      </rPr>
      <t>消除岁干员心情消耗</t>
    </r>
  </si>
  <si>
    <t>夕</t>
  </si>
  <si>
    <r>
      <rPr>
        <sz val="11"/>
        <color theme="1"/>
        <rFont val="微软雅黑"/>
        <charset val="134"/>
      </rPr>
      <t>心情&gt;=12，</t>
    </r>
    <r>
      <rPr>
        <sz val="11"/>
        <color rgb="FFFF0000"/>
        <rFont val="微软雅黑"/>
        <charset val="134"/>
      </rPr>
      <t>心情消耗+0.5</t>
    </r>
  </si>
  <si>
    <t>车尔尼</t>
  </si>
  <si>
    <t>宿舍</t>
  </si>
  <si>
    <t>满级宿舍，心情单回+0.65</t>
  </si>
  <si>
    <t>爱丽丝</t>
  </si>
  <si>
    <t>满级宿舍，心情群回+0.1</t>
  </si>
  <si>
    <t>无声共鸣额外加成（黑键额外加成）最高105，但不会用最高的无声共鸣</t>
  </si>
  <si>
    <t>满级办公室，30%办公室效率</t>
  </si>
  <si>
    <t>塑心</t>
  </si>
  <si>
    <t>所在宿舍满干员</t>
  </si>
  <si>
    <t>人间烟火，最高95</t>
  </si>
  <si>
    <t>乌有Ⅱ</t>
  </si>
  <si>
    <t>1:1转化成贸易</t>
  </si>
  <si>
    <t>重岳</t>
  </si>
  <si>
    <r>
      <rPr>
        <sz val="11"/>
        <color theme="1"/>
        <rFont val="微软雅黑"/>
        <charset val="134"/>
      </rPr>
      <t>5名岁挂件，</t>
    </r>
    <r>
      <rPr>
        <sz val="11"/>
        <color rgb="FFFF0000"/>
        <rFont val="微软雅黑"/>
        <charset val="134"/>
      </rPr>
      <t>心情消耗+0.5</t>
    </r>
  </si>
  <si>
    <t>精2后转化成心情减免</t>
  </si>
  <si>
    <t>桑葚Ⅱ</t>
  </si>
  <si>
    <r>
      <rPr>
        <sz val="11"/>
        <color theme="1"/>
        <rFont val="微软雅黑"/>
        <charset val="134"/>
      </rPr>
      <t>满级办公室，20%办公室效率，</t>
    </r>
    <r>
      <rPr>
        <sz val="11"/>
        <color rgb="FF00B050"/>
        <rFont val="微软雅黑"/>
        <charset val="134"/>
      </rPr>
      <t>心情消耗-0.25</t>
    </r>
  </si>
  <si>
    <r>
      <rPr>
        <sz val="11"/>
        <color theme="1"/>
        <rFont val="微软雅黑"/>
        <charset val="134"/>
      </rPr>
      <t>心情&gt;=12，</t>
    </r>
    <r>
      <rPr>
        <sz val="11"/>
        <color rgb="FF00B050"/>
        <rFont val="微软雅黑"/>
        <charset val="134"/>
      </rPr>
      <t>消除岁干员心情消耗</t>
    </r>
  </si>
  <si>
    <r>
      <rPr>
        <sz val="11"/>
        <color theme="1"/>
        <rFont val="微软雅黑"/>
        <charset val="134"/>
      </rPr>
      <t>心情&lt;12，</t>
    </r>
    <r>
      <rPr>
        <sz val="11"/>
        <color rgb="FFFF0000"/>
        <rFont val="微软雅黑"/>
        <charset val="134"/>
      </rPr>
      <t>心情消耗+0.5</t>
    </r>
  </si>
  <si>
    <t>截云Ⅱ</t>
  </si>
  <si>
    <t>5:2转化成制造</t>
  </si>
  <si>
    <t>黍Ⅱ</t>
  </si>
  <si>
    <r>
      <rPr>
        <sz val="11"/>
        <color theme="1"/>
        <rFont val="微软雅黑"/>
        <charset val="134"/>
      </rPr>
      <t>当前制造站所有干员</t>
    </r>
    <r>
      <rPr>
        <sz val="11"/>
        <color rgb="FF00B050"/>
        <rFont val="微软雅黑"/>
        <charset val="134"/>
      </rPr>
      <t>心情消耗-0.1</t>
    </r>
  </si>
  <si>
    <t>3:1转化成制造</t>
  </si>
  <si>
    <t>赤刃明霄陈Ⅱ</t>
  </si>
  <si>
    <t>更容易获得尚未拥有线索，纸面20%会客室效率</t>
  </si>
  <si>
    <t>10:1转化成会客室</t>
  </si>
  <si>
    <t>余Ⅱ</t>
  </si>
  <si>
    <t>训练室</t>
  </si>
  <si>
    <t>心情消耗+1</t>
  </si>
  <si>
    <t>1:1转化成训练室</t>
  </si>
  <si>
    <t>备注：絮雨、桑葚可以被琴柳Ⅱ+20%办公室效率</t>
  </si>
  <si>
    <t>统计范围：单人&gt;35%或多人&gt;70%</t>
  </si>
  <si>
    <t>干员（组）</t>
  </si>
  <si>
    <t>纸面上限</t>
  </si>
  <si>
    <t>订单上限</t>
  </si>
  <si>
    <t>干员效率</t>
  </si>
  <si>
    <t>通用40%</t>
  </si>
  <si>
    <t>贝洛内Ⅱ</t>
  </si>
  <si>
    <r>
      <rPr>
        <sz val="11"/>
        <color theme="1"/>
        <rFont val="微软雅黑"/>
        <charset val="134"/>
      </rPr>
      <t>伺夜挂件，八幡海铃进驻控制中枢</t>
    </r>
    <r>
      <rPr>
        <sz val="11"/>
        <color rgb="FFFF0000"/>
        <rFont val="微软雅黑"/>
        <charset val="134"/>
      </rPr>
      <t>额外+5%</t>
    </r>
  </si>
  <si>
    <t>吉星Ⅱ</t>
  </si>
  <si>
    <t>满级贸易站</t>
  </si>
  <si>
    <t>深巡Ⅱ</t>
  </si>
  <si>
    <t>乌尔比安挂件</t>
  </si>
  <si>
    <t>赫德雷Ⅱ</t>
  </si>
  <si>
    <t>伊内丝和W进驻工作场所</t>
  </si>
  <si>
    <t>伺夜Ⅱ</t>
  </si>
  <si>
    <r>
      <rPr>
        <sz val="11"/>
        <color theme="1"/>
        <rFont val="微软雅黑"/>
        <charset val="134"/>
      </rPr>
      <t>会客室满级，八幡海铃进驻控制中枢</t>
    </r>
    <r>
      <rPr>
        <sz val="11"/>
        <color rgb="FFFF0000"/>
        <rFont val="微软雅黑"/>
        <charset val="134"/>
      </rPr>
      <t>额外+5%</t>
    </r>
  </si>
  <si>
    <t>空弦Ⅱ</t>
  </si>
  <si>
    <t>全宿舍满级</t>
  </si>
  <si>
    <t>泰拉大陆调查团</t>
  </si>
  <si>
    <t>麒麟R夜刀，火龙S黑角进驻控制中枢</t>
  </si>
  <si>
    <t>焰狐龙梓兰Ⅱ+雷狼龙S空爆Ⅱ</t>
  </si>
  <si>
    <r>
      <rPr>
        <sz val="11"/>
        <color theme="1"/>
        <rFont val="微软雅黑"/>
        <charset val="134"/>
      </rPr>
      <t>可跨站，罗德岛隐秘队进驻贸易站</t>
    </r>
    <r>
      <rPr>
        <sz val="11"/>
        <color rgb="FFFF0000"/>
        <rFont val="微软雅黑"/>
        <charset val="134"/>
      </rPr>
      <t>额外+20%</t>
    </r>
  </si>
  <si>
    <t>风絮Ⅱ</t>
  </si>
  <si>
    <t>20%+4n%</t>
  </si>
  <si>
    <t>进驻岁干员的设施有n间，n最大为5</t>
  </si>
  <si>
    <t>真言Ⅱ</t>
  </si>
  <si>
    <t>25%+2n%</t>
  </si>
  <si>
    <t>进驻精英干员的设施有n间，n当前最大为7</t>
  </si>
  <si>
    <t>蕾缪安Ⅱ+能天使Ⅱ</t>
  </si>
  <si>
    <t>摩根Ⅱ+推进之王+戴菲恩Ⅱ（中枢）</t>
  </si>
  <si>
    <t>维娜·维多利亚Ⅱ进驻同个贸易站+40%</t>
  </si>
  <si>
    <t>鸿雪Ⅱ+图耶Ⅱ，2赤金布局</t>
  </si>
  <si>
    <t>可跨站，4名杜林挂件</t>
  </si>
  <si>
    <t>鸿雪Ⅱ+图耶Ⅱ，4赤金布局</t>
  </si>
  <si>
    <t>绮良Ⅱ+鸿雪Ⅱ+图耶Ⅱ，2赤金布局</t>
  </si>
  <si>
    <t>可跨站，要求进驻顺序，4杜林挂件</t>
  </si>
  <si>
    <t>绮良Ⅱ+鸿雪Ⅱ+图耶Ⅱ，4赤金布局</t>
  </si>
  <si>
    <t>精0孑组（满级贸易站，40%，递减）</t>
  </si>
  <si>
    <t>备注：精0孑组全员统计，且都为最高效率</t>
  </si>
  <si>
    <t>麒麟R夜刀+火龙S黑角进驻控制中枢</t>
  </si>
  <si>
    <t>伺夜Ⅱ+贝洛内Ⅱ</t>
  </si>
  <si>
    <r>
      <rPr>
        <sz val="11"/>
        <rFont val="微软雅黑"/>
        <charset val="134"/>
      </rPr>
      <t>满级会客室，八幡海铃进驻控制中枢</t>
    </r>
    <r>
      <rPr>
        <sz val="11"/>
        <color rgb="FFFF0000"/>
        <rFont val="微软雅黑"/>
        <charset val="134"/>
      </rPr>
      <t>额外+10%</t>
    </r>
  </si>
  <si>
    <r>
      <rPr>
        <sz val="11"/>
        <rFont val="微软雅黑"/>
        <charset val="134"/>
      </rPr>
      <t>罗德岛隐秘队进驻贸易站</t>
    </r>
    <r>
      <rPr>
        <sz val="11"/>
        <color rgb="FFFF0000"/>
        <rFont val="微软雅黑"/>
        <charset val="134"/>
      </rPr>
      <t>额外+20%</t>
    </r>
  </si>
  <si>
    <t>瑰盐Ⅱ</t>
  </si>
  <si>
    <t>拉普兰德Ⅱ+德克萨斯</t>
  </si>
  <si>
    <t>齐尔查克Ⅱ</t>
  </si>
  <si>
    <t>森西进驻满级宿舍</t>
  </si>
  <si>
    <t>衡沙Ⅱ/拜松Ⅱ/可颂Ⅱ</t>
  </si>
  <si>
    <t>远山/梓兰Ⅰ/玫兰莎</t>
  </si>
  <si>
    <t>涤火杰西卡/四月Ⅱ</t>
  </si>
  <si>
    <t>桃金娘/暗索Ⅰ/史都华德</t>
  </si>
  <si>
    <t>翎羽Ⅰ/黑角30级</t>
  </si>
  <si>
    <t>谢拉格干员</t>
  </si>
  <si>
    <t>银灰Ⅱ+锏Ⅱ/琳琅诗怀雅Ⅱ+灵知Ⅱ（中枢）</t>
  </si>
  <si>
    <t>银灰Ⅱ+灵知Ⅱ（中枢）</t>
  </si>
  <si>
    <t>崖心Ⅱ+灵知Ⅱ（中枢）</t>
  </si>
  <si>
    <t>银灰Ⅱ</t>
  </si>
  <si>
    <t>角峰/讯使+灵知Ⅱ（中枢）</t>
  </si>
  <si>
    <t>崖心Ⅱ</t>
  </si>
  <si>
    <t>角峰/讯使</t>
  </si>
  <si>
    <t>精1孑组（满级贸易站，40%）</t>
  </si>
  <si>
    <t>备注：精1孑组只统计孑起到正面效果的干员</t>
  </si>
  <si>
    <t>银灰Ⅱ+琳琅诗怀雅Ⅱ+灵知Ⅱ（中枢）</t>
  </si>
  <si>
    <t>银灰Ⅱ+锏Ⅱ+灵知Ⅱ（中枢）</t>
  </si>
  <si>
    <t>下列同种取最高</t>
  </si>
  <si>
    <t>望</t>
  </si>
  <si>
    <t>贸易站数量+发电站数量&gt;制造站数量（如243）</t>
  </si>
  <si>
    <t>若叶睦</t>
  </si>
  <si>
    <t>Mujika全员进驻控制中枢</t>
  </si>
  <si>
    <t>阿斯卡纶Ⅱ</t>
  </si>
  <si>
    <t>火龙S黑角Ⅱ</t>
  </si>
  <si>
    <t>与怪物猎人小队干员（麒麟R夜刀）进驻控制中枢</t>
  </si>
  <si>
    <t>明椒</t>
  </si>
  <si>
    <t>诗怀雅</t>
  </si>
  <si>
    <t>干员（组合）</t>
  </si>
  <si>
    <t>备注&amp;条件</t>
  </si>
  <si>
    <t>贵金属散件</t>
  </si>
  <si>
    <t>阿罗玛Ⅱ</t>
  </si>
  <si>
    <t>25%~45%</t>
  </si>
  <si>
    <t>心情消耗+0.25，10小时暖机</t>
  </si>
  <si>
    <t>娜斯提Ⅱ</t>
  </si>
  <si>
    <t>额外4名莱茵生命挂件，可用于莱茵生命</t>
  </si>
  <si>
    <t>20n%</t>
  </si>
  <si>
    <t>n为贸易站个数，可用于自动化</t>
  </si>
  <si>
    <t>引星棘刺Ⅱ</t>
  </si>
  <si>
    <t>30%+3n%</t>
  </si>
  <si>
    <t>n为贸易站个数，可用于苍苔组</t>
  </si>
  <si>
    <r>
      <rPr>
        <sz val="11"/>
        <color theme="1"/>
        <rFont val="微软雅黑"/>
        <charset val="134"/>
      </rPr>
      <t>薇薇安娜Ⅱ进驻控制中枢</t>
    </r>
    <r>
      <rPr>
        <sz val="11"/>
        <color rgb="FFFF0000"/>
        <rFont val="微软雅黑"/>
        <charset val="134"/>
      </rPr>
      <t>额外+7%</t>
    </r>
    <r>
      <rPr>
        <sz val="11"/>
        <rFont val="微软雅黑"/>
        <charset val="134"/>
      </rPr>
      <t>，可用于苍苔组</t>
    </r>
  </si>
  <si>
    <t>自动化（一般为贵金属）</t>
  </si>
  <si>
    <t>温蒂Ⅱ</t>
  </si>
  <si>
    <t>15n%</t>
  </si>
  <si>
    <t>发电站数量为n</t>
  </si>
  <si>
    <t>森蚺Ⅱ</t>
  </si>
  <si>
    <t>10n%</t>
  </si>
  <si>
    <t>掠风Ⅱ/异客Ⅱ</t>
  </si>
  <si>
    <t>5n%</t>
  </si>
  <si>
    <t>冬时Ⅰ</t>
  </si>
  <si>
    <t>满级制造站</t>
  </si>
  <si>
    <t>清流Ⅰ（贵金属）</t>
  </si>
  <si>
    <t>贸易站数量为n</t>
  </si>
  <si>
    <t>承曦格雷伊Ⅱ</t>
  </si>
  <si>
    <t>发电站额外+1</t>
  </si>
  <si>
    <t>Lancet-2进驻发电站，发电站额外+2</t>
  </si>
  <si>
    <t>苍苔（贵金属）</t>
  </si>
  <si>
    <t>苍苔Ⅱ</t>
  </si>
  <si>
    <r>
      <rPr>
        <b/>
        <sz val="11"/>
        <color theme="1"/>
        <rFont val="微软雅黑"/>
        <charset val="134"/>
      </rPr>
      <t>核心，下列干员（组合）</t>
    </r>
    <r>
      <rPr>
        <b/>
        <sz val="11"/>
        <color rgb="FFFF0000"/>
        <rFont val="微软雅黑"/>
        <charset val="134"/>
      </rPr>
      <t>效率+5%</t>
    </r>
  </si>
  <si>
    <t>n为贸易站个数</t>
  </si>
  <si>
    <r>
      <rPr>
        <sz val="11"/>
        <color theme="1"/>
        <rFont val="微软雅黑"/>
        <charset val="134"/>
      </rPr>
      <t>薇薇安娜Ⅱ进驻控制中枢</t>
    </r>
    <r>
      <rPr>
        <sz val="11"/>
        <color rgb="FFFF0000"/>
        <rFont val="微软雅黑"/>
        <charset val="134"/>
      </rPr>
      <t>额外+7%</t>
    </r>
  </si>
  <si>
    <t>温米Ⅱ/夜烟/斑点Ⅰ</t>
  </si>
  <si>
    <t>温米Ⅱ+阿兰娜Ⅱ</t>
  </si>
  <si>
    <t>3台作业平台进驻发电站</t>
  </si>
  <si>
    <t>作战记录散件</t>
  </si>
  <si>
    <t>机械师Ⅱ</t>
  </si>
  <si>
    <t>30%~40%</t>
  </si>
  <si>
    <t>12小时前30%，12小时后40%</t>
  </si>
  <si>
    <t>酒神Ⅱ</t>
  </si>
  <si>
    <t>弑君者Ⅱ/断罪者Ⅰ/食铁兽Ⅱ</t>
  </si>
  <si>
    <t>裂响Ⅱ</t>
  </si>
  <si>
    <t>心情消耗+0.25</t>
  </si>
  <si>
    <t>红松林骑士团（一般为作战记录）</t>
  </si>
  <si>
    <t>野鬃Ⅱ</t>
  </si>
  <si>
    <r>
      <rPr>
        <sz val="11"/>
        <color theme="1"/>
        <rFont val="微软雅黑"/>
        <charset val="134"/>
      </rPr>
      <t>正义骑士号（30级）进驻发电站</t>
    </r>
    <r>
      <rPr>
        <sz val="11"/>
        <color rgb="FFFF0000"/>
        <rFont val="微软雅黑"/>
        <charset val="134"/>
      </rPr>
      <t>额外+5%</t>
    </r>
  </si>
  <si>
    <t>灰豪Ⅱ/远牙Ⅱ</t>
  </si>
  <si>
    <t>薇薇安娜Ⅱ</t>
  </si>
  <si>
    <t>生产力+7%</t>
  </si>
  <si>
    <t>焰尾Ⅱ</t>
  </si>
  <si>
    <r>
      <rPr>
        <sz val="11"/>
        <color rgb="FFFF0000"/>
        <rFont val="微软雅黑"/>
        <charset val="134"/>
      </rPr>
      <t>作战记录+10%</t>
    </r>
    <r>
      <rPr>
        <sz val="11"/>
        <color theme="1"/>
        <rFont val="微软雅黑"/>
        <charset val="134"/>
      </rPr>
      <t>，</t>
    </r>
    <r>
      <rPr>
        <sz val="11"/>
        <color rgb="FFFF0000"/>
        <rFont val="微软雅黑"/>
        <charset val="134"/>
      </rPr>
      <t>贵金属-10%</t>
    </r>
  </si>
  <si>
    <t>通用散件</t>
  </si>
  <si>
    <t>至简Ⅱ</t>
  </si>
  <si>
    <t>设施全满级（3发电站布局）</t>
  </si>
  <si>
    <t>槐琥Ⅱ</t>
  </si>
  <si>
    <t>制造站其他干员总计40%以上生产力</t>
  </si>
  <si>
    <t>玛露西尔Ⅱ</t>
  </si>
  <si>
    <t>莱茵生命</t>
  </si>
  <si>
    <t>多萝西Ⅱ</t>
  </si>
  <si>
    <t>溯光星源Ⅱ</t>
  </si>
  <si>
    <t>每个莱茵科技技能+5仓库容量上限</t>
  </si>
  <si>
    <t>娜斯提Ⅱ（贵金属）</t>
  </si>
  <si>
    <t>额外4名莱茵生命挂件</t>
  </si>
  <si>
    <t>淬羽赫默Ⅱ</t>
  </si>
  <si>
    <t>星源Ⅱ/白面鸮Ⅱ/赫默Ⅱ</t>
  </si>
  <si>
    <t>标准化</t>
  </si>
  <si>
    <t>水月Ⅱ</t>
  </si>
  <si>
    <t>海沫Ⅱ</t>
  </si>
  <si>
    <t>莱茵科技、红松林骑士团视作标准化</t>
  </si>
  <si>
    <t>杰西卡/香草</t>
  </si>
  <si>
    <t>同属于黑钢国际</t>
  </si>
  <si>
    <t>罗比菈塔Ⅰ/调香师Ⅰ/史都华德Ⅰ</t>
  </si>
  <si>
    <t>洋灰/石英/褐果/流星/夜刀（30级）</t>
  </si>
  <si>
    <t>黑钢国际</t>
  </si>
  <si>
    <t>杏仁Ⅱ（贵金属）</t>
  </si>
  <si>
    <t>额外2名黑钢国际挂件</t>
  </si>
  <si>
    <t>同属于标准化</t>
  </si>
  <si>
    <t>涤火杰西卡Ⅱ</t>
  </si>
  <si>
    <r>
      <rPr>
        <sz val="11"/>
        <color rgb="FFFF0000"/>
        <rFont val="微软雅黑"/>
        <charset val="134"/>
      </rPr>
      <t>生产力+5%</t>
    </r>
    <r>
      <rPr>
        <sz val="11"/>
        <color theme="1"/>
        <rFont val="微软雅黑"/>
        <charset val="134"/>
      </rPr>
      <t>，心情消耗+0.5</t>
    </r>
  </si>
  <si>
    <t>其他</t>
  </si>
  <si>
    <t>怒潮凛冬Ⅱ+烈夏Ⅱ（作战记录）</t>
  </si>
  <si>
    <t>古米进驻贸易站（30%贸易）</t>
  </si>
  <si>
    <t>斯卡蒂、幽灵鲨、安哲拉、乌尔比安</t>
  </si>
  <si>
    <t>歌蕾蒂娅进驻控制中枢
4名深海猎人同时进驻制造站
每站最高由深海猎人提供90%</t>
  </si>
  <si>
    <t>源石</t>
  </si>
  <si>
    <t>褐果Ⅰ</t>
  </si>
  <si>
    <t>谬因/锡兰Ⅱ/艾雅法拉/地灵Ⅰ/炎熔Ⅰ</t>
  </si>
  <si>
    <t>薄绿Ⅰ/月见夜Ⅰ</t>
  </si>
  <si>
    <t>下列同种取最高（丰川祥子除外）</t>
  </si>
  <si>
    <t>斩业星熊Ⅱ</t>
  </si>
  <si>
    <t>龙门近卫局（诗怀雅、陈）干员进驻控制中枢</t>
  </si>
  <si>
    <t>贸易站数量+发电站数量&lt;制造站数量（如252）</t>
  </si>
  <si>
    <t>Mon3trⅡ/凯尔希Ⅱ</t>
  </si>
  <si>
    <t>麒麟R夜刀Ⅱ</t>
  </si>
  <si>
    <t>与怪物猎人小队干员（火龙S黑角）进驻控制中枢</t>
  </si>
  <si>
    <t>两名作业平台进驻发电站</t>
  </si>
  <si>
    <t>丰川祥子Ⅱ（贵金属）</t>
  </si>
  <si>
    <t>Mujika全员进驻控制中枢，无法加成自动化组</t>
  </si>
  <si>
    <t>工作时长</t>
  </si>
  <si>
    <t>上限</t>
  </si>
  <si>
    <t>初始效率</t>
  </si>
  <si>
    <t>最终效率</t>
  </si>
  <si>
    <t>暖机时间</t>
  </si>
  <si>
    <t>平均效率</t>
  </si>
  <si>
    <t>目标</t>
  </si>
  <si>
    <t>红云组</t>
  </si>
  <si>
    <t>备注：未考虑铅踝，铅踝心情&lt;12时也能触发红云、泡泡技能效果，但计算较为复杂，这里地方太小写不下（</t>
  </si>
  <si>
    <t>核心</t>
  </si>
  <si>
    <t>稀音Ⅱ</t>
  </si>
  <si>
    <t>经验</t>
  </si>
  <si>
    <t>5小时暖机</t>
  </si>
  <si>
    <t>酒神Ⅱ+Miss.ChristineⅡ</t>
  </si>
  <si>
    <t>溯光星源Ⅱ+娜斯提Ⅱ</t>
  </si>
  <si>
    <t>赤金</t>
  </si>
  <si>
    <t>帕拉斯Ⅱ</t>
  </si>
  <si>
    <t>刻俄柏Ⅱ</t>
  </si>
  <si>
    <t>溯光星源Ⅱ+多萝西Ⅱ</t>
  </si>
  <si>
    <t>娜仁图亚Ⅱ</t>
  </si>
  <si>
    <t>满级宿舍</t>
  </si>
  <si>
    <t>圣约送葬人Ⅱ</t>
  </si>
  <si>
    <t>裁度Ⅱ</t>
  </si>
  <si>
    <t>钼铅Ⅱ</t>
  </si>
  <si>
    <t>洋灰Ⅱ</t>
  </si>
  <si>
    <t>火神Ⅱ</t>
  </si>
  <si>
    <t>石棉Ⅱ</t>
  </si>
  <si>
    <t>泰拉大陆调查团30级</t>
  </si>
  <si>
    <t>豆苗Ⅰ</t>
  </si>
  <si>
    <t>黑角/蛇屠箱</t>
  </si>
  <si>
    <t>卡达Ⅰ</t>
  </si>
  <si>
    <t>米格鲁</t>
  </si>
  <si>
    <t>清道夫Ⅰ</t>
  </si>
  <si>
    <t>泡泡组</t>
  </si>
  <si>
    <t>暖机类干员效率计算</t>
  </si>
  <si>
    <t>备注：机械师算法与其他干员不同，请注意甄别</t>
  </si>
  <si>
    <t>10小时暖机</t>
  </si>
  <si>
    <t>初始30%，12小时后40%</t>
  </si>
  <si>
    <t>伊内丝Ⅱ</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</si>
</sst>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numFmts>
  <fonts count="32">
    <font>
      <sz val="11"/>
      <color theme="1"/>
      <name val="微软雅黑"/>
      <charset val="134"/>
    </font>
    <font>
      <sz val="11"/>
      <name val="微软雅黑"/>
      <charset val="134"/>
    </font>
    <font>
      <b/>
      <sz val="11"/>
      <name val="微软雅黑"/>
      <charset val="134"/>
    </font>
    <font>
      <sz val="11"/>
      <color rgb="FF00B050"/>
      <name val="微软雅黑"/>
      <charset val="134"/>
    </font>
    <font>
      <sz val="11"/>
      <color rgb="FFFF0000"/>
      <name val="微软雅黑"/>
      <charset val="134"/>
    </font>
    <font>
      <b/>
      <sz val="11"/>
      <color theme="1"/>
      <name val="微软雅黑"/>
      <charset val="134"/>
    </font>
    <font>
      <sz val="11"/>
      <color theme="1"/>
      <name val="宋体"/>
      <charset val="134"/>
      <scheme val="minor"/>
    </font>
    <font>
      <sz val="11"/>
      <color rgb="FF606266"/>
      <name val="微软雅黑"/>
      <charset val="134"/>
    </font>
    <font>
      <sz val="16"/>
      <color theme="1"/>
      <name val="微软雅黑"/>
      <charset val="134"/>
    </font>
    <font>
      <b/>
      <sz val="72"/>
      <color theme="1"/>
      <name val="微软雅黑"/>
      <charset val="134"/>
    </font>
    <font>
      <sz val="2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4"/>
      <color theme="1"/>
      <name val="微软雅黑"/>
      <charset val="134"/>
    </font>
    <font>
      <b/>
      <sz val="11"/>
      <color rgb="FFFF0000"/>
      <name val="微软雅黑"/>
      <charset val="134"/>
    </font>
  </fonts>
  <fills count="42">
    <fill>
      <patternFill patternType="none"/>
    </fill>
    <fill>
      <patternFill patternType="gray125"/>
    </fill>
    <fill>
      <patternFill patternType="solid">
        <fgColor theme="6" tint="0.8"/>
        <bgColor indexed="64"/>
      </patternFill>
    </fill>
    <fill>
      <patternFill patternType="solid">
        <fgColor theme="5" tint="0.8"/>
        <bgColor indexed="64"/>
      </patternFill>
    </fill>
    <fill>
      <patternFill patternType="solid">
        <fgColor theme="7" tint="0.8"/>
        <bgColor indexed="64"/>
      </patternFill>
    </fill>
    <fill>
      <patternFill patternType="solid">
        <fgColor theme="9" tint="0.8"/>
        <bgColor indexed="64"/>
      </patternFill>
    </fill>
    <fill>
      <patternFill patternType="solid">
        <fgColor theme="4" tint="0.8"/>
        <bgColor indexed="64"/>
      </patternFill>
    </fill>
    <fill>
      <patternFill patternType="solid">
        <fgColor theme="8" tint="0.8"/>
        <bgColor indexed="64"/>
      </patternFill>
    </fill>
    <fill>
      <patternFill patternType="solid">
        <fgColor theme="9" tint="0.6"/>
        <bgColor indexed="64"/>
      </patternFill>
    </fill>
    <fill>
      <patternFill patternType="solid">
        <fgColor theme="2" tint="-0.1"/>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right style="thin">
        <color auto="1"/>
      </right>
      <top/>
      <bottom/>
      <diagonal/>
    </border>
    <border>
      <left style="thin">
        <color auto="1"/>
      </left>
      <right/>
      <top/>
      <bottom/>
      <diagonal/>
    </border>
    <border>
      <left style="thin">
        <color auto="1"/>
      </left>
      <right style="medium">
        <color auto="1"/>
      </right>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1" borderId="3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1" applyNumberFormat="0" applyFill="0" applyAlignment="0" applyProtection="0">
      <alignment vertical="center"/>
    </xf>
    <xf numFmtId="0" fontId="17" fillId="0" borderId="31" applyNumberFormat="0" applyFill="0" applyAlignment="0" applyProtection="0">
      <alignment vertical="center"/>
    </xf>
    <xf numFmtId="0" fontId="18" fillId="0" borderId="32" applyNumberFormat="0" applyFill="0" applyAlignment="0" applyProtection="0">
      <alignment vertical="center"/>
    </xf>
    <xf numFmtId="0" fontId="18" fillId="0" borderId="0" applyNumberFormat="0" applyFill="0" applyBorder="0" applyAlignment="0" applyProtection="0">
      <alignment vertical="center"/>
    </xf>
    <xf numFmtId="0" fontId="19" fillId="12" borderId="33" applyNumberFormat="0" applyAlignment="0" applyProtection="0">
      <alignment vertical="center"/>
    </xf>
    <xf numFmtId="0" fontId="20" fillId="13" borderId="34" applyNumberFormat="0" applyAlignment="0" applyProtection="0">
      <alignment vertical="center"/>
    </xf>
    <xf numFmtId="0" fontId="21" fillId="13" borderId="33" applyNumberFormat="0" applyAlignment="0" applyProtection="0">
      <alignment vertical="center"/>
    </xf>
    <xf numFmtId="0" fontId="22" fillId="14" borderId="35" applyNumberFormat="0" applyAlignment="0" applyProtection="0">
      <alignment vertical="center"/>
    </xf>
    <xf numFmtId="0" fontId="23" fillId="0" borderId="36" applyNumberFormat="0" applyFill="0" applyAlignment="0" applyProtection="0">
      <alignment vertical="center"/>
    </xf>
    <xf numFmtId="0" fontId="24" fillId="0" borderId="37"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28" fillId="41" borderId="0" applyNumberFormat="0" applyBorder="0" applyAlignment="0" applyProtection="0">
      <alignment vertical="center"/>
    </xf>
  </cellStyleXfs>
  <cellXfs count="232">
    <xf numFmtId="0" fontId="0" fillId="0" borderId="0" xfId="0">
      <alignment vertical="center"/>
    </xf>
    <xf numFmtId="0" fontId="1" fillId="0" borderId="0" xfId="0" applyNumberFormat="1" applyFont="1" applyFill="1" applyBorder="1" applyAlignment="1">
      <alignment horizontal="center" vertical="center"/>
    </xf>
    <xf numFmtId="0" fontId="0" fillId="0" borderId="0" xfId="0" applyFont="1" applyFill="1" applyAlignment="1">
      <alignment vertical="center"/>
    </xf>
    <xf numFmtId="0" fontId="1" fillId="0" borderId="0" xfId="0" applyNumberFormat="1" applyFont="1" applyFill="1" applyBorder="1" applyAlignment="1">
      <alignment vertical="center"/>
    </xf>
    <xf numFmtId="10" fontId="1" fillId="0" borderId="0" xfId="0" applyNumberFormat="1" applyFont="1" applyFill="1" applyBorder="1" applyAlignment="1">
      <alignment horizontal="center" vertical="center"/>
    </xf>
    <xf numFmtId="176" fontId="1" fillId="0" borderId="0" xfId="0"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0" fontId="1" fillId="0" borderId="0" xfId="0" applyNumberFormat="1" applyFont="1" applyFill="1" applyAlignment="1">
      <alignment vertical="center"/>
    </xf>
    <xf numFmtId="0" fontId="3" fillId="0"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1" fillId="2" borderId="0" xfId="0" applyNumberFormat="1" applyFont="1" applyFill="1" applyBorder="1" applyAlignment="1">
      <alignment vertical="center"/>
    </xf>
    <xf numFmtId="0" fontId="1" fillId="2" borderId="0" xfId="0" applyNumberFormat="1" applyFont="1" applyFill="1" applyBorder="1" applyAlignment="1" applyProtection="1">
      <alignment horizontal="center" vertical="center"/>
    </xf>
    <xf numFmtId="10" fontId="1" fillId="2" borderId="0" xfId="0" applyNumberFormat="1" applyFont="1" applyFill="1" applyBorder="1" applyAlignment="1">
      <alignment horizontal="center" vertical="center"/>
    </xf>
    <xf numFmtId="0" fontId="1" fillId="2"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0" fillId="3" borderId="0" xfId="0" applyNumberFormat="1" applyFont="1" applyFill="1" applyBorder="1" applyAlignment="1">
      <alignment vertical="center"/>
    </xf>
    <xf numFmtId="0" fontId="0" fillId="3" borderId="0" xfId="0" applyNumberFormat="1" applyFont="1" applyFill="1" applyBorder="1" applyAlignment="1">
      <alignment horizontal="center" vertical="center"/>
    </xf>
    <xf numFmtId="10" fontId="0" fillId="3" borderId="0" xfId="0" applyNumberFormat="1" applyFont="1" applyFill="1" applyBorder="1" applyAlignment="1">
      <alignment horizontal="center" vertical="center"/>
    </xf>
    <xf numFmtId="10" fontId="1" fillId="3" borderId="0" xfId="0" applyNumberFormat="1" applyFont="1" applyFill="1" applyBorder="1" applyAlignment="1">
      <alignment horizontal="center" vertical="center"/>
    </xf>
    <xf numFmtId="0" fontId="1" fillId="3" borderId="0" xfId="0" applyNumberFormat="1" applyFont="1" applyFill="1" applyBorder="1" applyAlignment="1">
      <alignment horizontal="center" vertical="center"/>
    </xf>
    <xf numFmtId="0" fontId="1" fillId="3" borderId="0" xfId="0" applyNumberFormat="1" applyFont="1" applyFill="1" applyBorder="1" applyAlignment="1">
      <alignment vertical="center"/>
    </xf>
    <xf numFmtId="0" fontId="0" fillId="0" borderId="0" xfId="0" applyNumberFormat="1" applyFont="1" applyFill="1" applyBorder="1" applyAlignment="1">
      <alignment vertical="center"/>
    </xf>
    <xf numFmtId="0" fontId="0" fillId="0" borderId="0" xfId="0" applyNumberFormat="1" applyFont="1" applyFill="1" applyBorder="1" applyAlignment="1">
      <alignment horizontal="center" vertical="center"/>
    </xf>
    <xf numFmtId="10" fontId="0" fillId="0" borderId="0" xfId="0" applyNumberFormat="1" applyFont="1" applyFill="1" applyBorder="1" applyAlignment="1">
      <alignment horizontal="center" vertical="center"/>
    </xf>
    <xf numFmtId="0" fontId="3" fillId="3" borderId="0" xfId="0" applyNumberFormat="1" applyFont="1" applyFill="1" applyBorder="1" applyAlignment="1">
      <alignment horizontal="center" vertical="center"/>
    </xf>
    <xf numFmtId="0" fontId="4" fillId="0" borderId="0" xfId="0" applyNumberFormat="1" applyFont="1" applyFill="1" applyBorder="1" applyAlignment="1">
      <alignment horizontal="center" vertical="center"/>
    </xf>
    <xf numFmtId="0" fontId="0" fillId="0" borderId="0" xfId="0" applyNumberFormat="1" applyFont="1" applyFill="1" applyAlignment="1">
      <alignment vertical="center"/>
    </xf>
    <xf numFmtId="0" fontId="0" fillId="0" borderId="0" xfId="0" applyNumberFormat="1" applyFont="1" applyFill="1" applyAlignment="1">
      <alignment horizontal="center" vertical="center"/>
    </xf>
    <xf numFmtId="10" fontId="0" fillId="0" borderId="0" xfId="0" applyNumberFormat="1" applyFont="1" applyFill="1" applyAlignment="1">
      <alignment horizontal="center" vertical="center"/>
    </xf>
    <xf numFmtId="10" fontId="1" fillId="0" borderId="0" xfId="0" applyNumberFormat="1" applyFont="1" applyFill="1" applyBorder="1" applyAlignment="1">
      <alignment horizontal="center" vertical="center" wrapText="1"/>
    </xf>
    <xf numFmtId="0" fontId="3" fillId="0" borderId="0" xfId="0" applyNumberFormat="1" applyFont="1" applyFill="1" applyAlignment="1">
      <alignment horizontal="center" vertical="center"/>
    </xf>
    <xf numFmtId="0" fontId="5" fillId="0" borderId="0" xfId="0" applyNumberFormat="1" applyFont="1" applyFill="1" applyAlignment="1">
      <alignment vertical="center"/>
    </xf>
    <xf numFmtId="10" fontId="1" fillId="2" borderId="0" xfId="0" applyNumberFormat="1" applyFont="1" applyFill="1" applyBorder="1" applyAlignment="1">
      <alignment horizontal="center" vertical="center" wrapText="1"/>
    </xf>
    <xf numFmtId="10" fontId="1" fillId="3" borderId="0" xfId="0" applyNumberFormat="1" applyFont="1" applyFill="1" applyBorder="1" applyAlignment="1">
      <alignment horizontal="center" vertical="center" wrapText="1"/>
    </xf>
    <xf numFmtId="0" fontId="5"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10" fontId="1" fillId="0" borderId="0" xfId="0" applyNumberFormat="1" applyFont="1" applyFill="1" applyAlignment="1">
      <alignment horizontal="center" vertical="center"/>
    </xf>
    <xf numFmtId="0" fontId="0" fillId="3" borderId="0" xfId="0" applyNumberFormat="1" applyFont="1" applyFill="1" applyAlignment="1">
      <alignment horizontal="center" vertical="center"/>
    </xf>
    <xf numFmtId="0" fontId="4" fillId="3" borderId="0" xfId="0" applyNumberFormat="1" applyFont="1" applyFill="1" applyBorder="1" applyAlignment="1">
      <alignment horizontal="center" vertical="center"/>
    </xf>
    <xf numFmtId="0" fontId="1" fillId="2" borderId="0" xfId="0" applyNumberFormat="1" applyFont="1" applyFill="1" applyAlignment="1">
      <alignment vertical="center"/>
    </xf>
    <xf numFmtId="0" fontId="1" fillId="2" borderId="0" xfId="0" applyNumberFormat="1" applyFont="1" applyFill="1" applyAlignment="1">
      <alignment horizontal="center" vertical="center"/>
    </xf>
    <xf numFmtId="10" fontId="1" fillId="2" borderId="0" xfId="0" applyNumberFormat="1" applyFont="1" applyFill="1" applyAlignment="1">
      <alignment horizontal="center" vertical="center"/>
    </xf>
    <xf numFmtId="0" fontId="0" fillId="2" borderId="0" xfId="0" applyNumberFormat="1" applyFont="1" applyFill="1" applyAlignment="1">
      <alignment horizontal="center" vertical="center"/>
    </xf>
    <xf numFmtId="0" fontId="4" fillId="2" borderId="0" xfId="0" applyNumberFormat="1" applyFont="1" applyFill="1" applyBorder="1" applyAlignment="1">
      <alignment horizontal="center" vertical="center"/>
    </xf>
    <xf numFmtId="0" fontId="1" fillId="4" borderId="0" xfId="0" applyNumberFormat="1" applyFont="1" applyFill="1" applyBorder="1" applyAlignment="1">
      <alignment vertical="center"/>
    </xf>
    <xf numFmtId="0" fontId="1" fillId="4" borderId="0" xfId="0" applyNumberFormat="1" applyFont="1" applyFill="1" applyBorder="1" applyAlignment="1">
      <alignment horizontal="center" vertical="center"/>
    </xf>
    <xf numFmtId="10" fontId="1" fillId="4" borderId="0" xfId="0" applyNumberFormat="1" applyFont="1" applyFill="1" applyBorder="1" applyAlignment="1">
      <alignment horizontal="center" vertical="center"/>
    </xf>
    <xf numFmtId="0" fontId="3" fillId="4" borderId="0" xfId="0" applyNumberFormat="1" applyFont="1" applyFill="1" applyBorder="1" applyAlignment="1">
      <alignment horizontal="center" vertical="center"/>
    </xf>
    <xf numFmtId="0" fontId="1" fillId="5" borderId="0" xfId="0" applyNumberFormat="1" applyFont="1" applyFill="1" applyBorder="1" applyAlignment="1">
      <alignment vertical="center"/>
    </xf>
    <xf numFmtId="0" fontId="1" fillId="5" borderId="0" xfId="0" applyNumberFormat="1" applyFont="1" applyFill="1" applyBorder="1" applyAlignment="1">
      <alignment horizontal="center" vertical="center"/>
    </xf>
    <xf numFmtId="10" fontId="1" fillId="5" borderId="0" xfId="0" applyNumberFormat="1" applyFont="1" applyFill="1" applyBorder="1" applyAlignment="1">
      <alignment horizontal="center" vertical="center"/>
    </xf>
    <xf numFmtId="0" fontId="0" fillId="0" borderId="0" xfId="0" applyFont="1" applyFill="1" applyAlignment="1">
      <alignment horizontal="center" vertical="center"/>
    </xf>
    <xf numFmtId="0" fontId="6" fillId="0" borderId="0" xfId="0" applyFont="1" applyFill="1" applyAlignment="1">
      <alignment vertical="center"/>
    </xf>
    <xf numFmtId="9" fontId="0" fillId="0" borderId="0" xfId="0" applyNumberFormat="1" applyFont="1" applyFill="1" applyAlignment="1">
      <alignment horizontal="center" vertical="center"/>
    </xf>
    <xf numFmtId="0" fontId="5" fillId="0" borderId="0" xfId="0" applyFont="1" applyFill="1" applyAlignment="1">
      <alignment horizontal="center" vertical="center"/>
    </xf>
    <xf numFmtId="0" fontId="5" fillId="0" borderId="0" xfId="0" applyFont="1" applyFill="1" applyAlignment="1">
      <alignment vertical="center"/>
    </xf>
    <xf numFmtId="0" fontId="4" fillId="0" borderId="0" xfId="0" applyFont="1" applyFill="1" applyAlignment="1">
      <alignment vertical="center"/>
    </xf>
    <xf numFmtId="9" fontId="0" fillId="0" borderId="0" xfId="0" applyNumberFormat="1" applyFont="1" applyFill="1" applyAlignment="1">
      <alignment vertical="center"/>
    </xf>
    <xf numFmtId="0" fontId="7" fillId="0" borderId="0" xfId="0" applyFont="1" applyFill="1" applyAlignment="1">
      <alignment vertical="center"/>
    </xf>
    <xf numFmtId="0" fontId="0" fillId="0" borderId="0" xfId="0" applyFont="1" applyFill="1" applyAlignment="1">
      <alignment vertical="center" wrapText="1"/>
    </xf>
    <xf numFmtId="9" fontId="1" fillId="0" borderId="0" xfId="0" applyNumberFormat="1" applyFont="1" applyFill="1" applyAlignment="1">
      <alignment horizontal="center" vertical="center"/>
    </xf>
    <xf numFmtId="0" fontId="2" fillId="0" borderId="0" xfId="0" applyNumberFormat="1" applyFont="1" applyFill="1" applyAlignment="1">
      <alignment vertical="center"/>
    </xf>
    <xf numFmtId="0" fontId="1" fillId="0" borderId="0" xfId="0" applyNumberFormat="1" applyFont="1" applyFill="1" applyAlignment="1" applyProtection="1">
      <alignment horizontal="center" vertical="center"/>
    </xf>
    <xf numFmtId="9" fontId="1" fillId="0" borderId="0" xfId="0" applyNumberFormat="1" applyFont="1" applyFill="1" applyBorder="1" applyAlignment="1" applyProtection="1">
      <alignment horizontal="center" vertical="center"/>
    </xf>
    <xf numFmtId="9" fontId="1" fillId="0" borderId="0" xfId="0" applyNumberFormat="1" applyFont="1" applyFill="1" applyBorder="1" applyAlignment="1">
      <alignment horizontal="center" vertical="center"/>
    </xf>
    <xf numFmtId="9" fontId="1" fillId="0" borderId="0" xfId="0" applyNumberFormat="1" applyFont="1" applyFill="1" applyAlignment="1" applyProtection="1">
      <alignment horizontal="center" vertical="center"/>
    </xf>
    <xf numFmtId="0" fontId="0" fillId="2" borderId="0" xfId="0" applyFont="1" applyFill="1" applyAlignment="1">
      <alignment vertical="center"/>
    </xf>
    <xf numFmtId="0" fontId="0" fillId="6" borderId="0" xfId="0" applyFont="1" applyFill="1" applyAlignment="1">
      <alignment vertical="center"/>
    </xf>
    <xf numFmtId="0" fontId="0" fillId="7" borderId="0" xfId="0" applyFont="1" applyFill="1" applyAlignment="1">
      <alignment vertical="center"/>
    </xf>
    <xf numFmtId="0" fontId="0" fillId="5" borderId="0" xfId="0" applyFont="1" applyFill="1" applyAlignment="1">
      <alignment vertical="center"/>
    </xf>
    <xf numFmtId="0" fontId="0" fillId="8" borderId="0" xfId="0" applyFont="1" applyFill="1" applyAlignment="1">
      <alignment vertical="center"/>
    </xf>
    <xf numFmtId="0" fontId="0" fillId="0" borderId="0" xfId="0" applyFont="1" applyFill="1" applyBorder="1" applyAlignment="1">
      <alignment vertical="center"/>
    </xf>
    <xf numFmtId="0" fontId="0" fillId="0" borderId="0" xfId="0" applyFont="1" applyFill="1" applyBorder="1" applyAlignment="1">
      <alignment horizontal="center" vertical="center"/>
    </xf>
    <xf numFmtId="0" fontId="0" fillId="0" borderId="0" xfId="0" applyFont="1" applyBorder="1" applyAlignment="1">
      <alignment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0" fillId="0" borderId="4"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xf>
    <xf numFmtId="0" fontId="0" fillId="0" borderId="5" xfId="0" applyNumberFormat="1" applyFont="1" applyFill="1" applyBorder="1" applyAlignment="1">
      <alignment horizontal="center" vertical="center"/>
    </xf>
    <xf numFmtId="0" fontId="0" fillId="0" borderId="4" xfId="0" applyFont="1" applyFill="1" applyBorder="1" applyAlignment="1">
      <alignment vertical="center"/>
    </xf>
    <xf numFmtId="9" fontId="0" fillId="0" borderId="0" xfId="0" applyNumberFormat="1" applyFont="1" applyFill="1" applyBorder="1" applyAlignment="1">
      <alignment horizontal="center" vertical="center"/>
    </xf>
    <xf numFmtId="0" fontId="0" fillId="0" borderId="5" xfId="0" applyFont="1" applyFill="1" applyBorder="1" applyAlignment="1">
      <alignment vertical="center"/>
    </xf>
    <xf numFmtId="0" fontId="0" fillId="0" borderId="6" xfId="0" applyNumberFormat="1" applyFont="1" applyFill="1" applyBorder="1" applyAlignment="1">
      <alignment vertical="center"/>
    </xf>
    <xf numFmtId="9" fontId="0" fillId="0" borderId="7" xfId="0" applyNumberFormat="1" applyFont="1" applyFill="1" applyBorder="1" applyAlignment="1">
      <alignment horizontal="center" vertical="center"/>
    </xf>
    <xf numFmtId="49" fontId="4" fillId="0" borderId="7" xfId="0" applyNumberFormat="1" applyFont="1" applyFill="1" applyBorder="1" applyAlignment="1">
      <alignment horizontal="center" vertical="center"/>
    </xf>
    <xf numFmtId="0" fontId="0" fillId="0" borderId="7" xfId="0" applyNumberFormat="1" applyFont="1" applyFill="1" applyBorder="1" applyAlignment="1">
      <alignment vertical="center"/>
    </xf>
    <xf numFmtId="0" fontId="0" fillId="0" borderId="8" xfId="0" applyNumberFormat="1" applyFont="1" applyFill="1" applyBorder="1" applyAlignment="1">
      <alignment vertical="center"/>
    </xf>
    <xf numFmtId="0" fontId="0" fillId="0" borderId="9" xfId="0" applyFont="1" applyFill="1" applyBorder="1" applyAlignment="1">
      <alignment vertical="center"/>
    </xf>
    <xf numFmtId="9" fontId="0" fillId="0" borderId="10" xfId="0" applyNumberFormat="1" applyFont="1" applyFill="1" applyBorder="1" applyAlignment="1">
      <alignment horizontal="center" vertical="center"/>
    </xf>
    <xf numFmtId="0" fontId="0" fillId="0" borderId="11" xfId="0" applyFont="1" applyFill="1" applyBorder="1" applyAlignment="1">
      <alignment vertical="center"/>
    </xf>
    <xf numFmtId="0" fontId="0" fillId="0" borderId="9" xfId="0" applyNumberFormat="1" applyFont="1" applyFill="1" applyBorder="1" applyAlignment="1">
      <alignment vertical="center"/>
    </xf>
    <xf numFmtId="49" fontId="0" fillId="0" borderId="10" xfId="0" applyNumberFormat="1" applyFont="1" applyFill="1" applyBorder="1" applyAlignment="1">
      <alignment horizontal="center" vertical="center"/>
    </xf>
    <xf numFmtId="0" fontId="0" fillId="0" borderId="10" xfId="0" applyNumberFormat="1" applyFont="1" applyFill="1" applyBorder="1" applyAlignment="1">
      <alignment vertical="center"/>
    </xf>
    <xf numFmtId="0" fontId="0" fillId="0" borderId="11" xfId="0" applyNumberFormat="1" applyFont="1" applyFill="1" applyBorder="1" applyAlignment="1">
      <alignment vertical="center"/>
    </xf>
    <xf numFmtId="0" fontId="0" fillId="0" borderId="12" xfId="0" applyFont="1" applyFill="1" applyBorder="1" applyAlignment="1">
      <alignment vertical="center"/>
    </xf>
    <xf numFmtId="9" fontId="0" fillId="0" borderId="13" xfId="0" applyNumberFormat="1" applyFont="1" applyFill="1" applyBorder="1" applyAlignment="1">
      <alignment horizontal="center" vertical="center"/>
    </xf>
    <xf numFmtId="0" fontId="0" fillId="0" borderId="14" xfId="0" applyFont="1" applyFill="1" applyBorder="1" applyAlignment="1">
      <alignment vertical="center" wrapText="1"/>
    </xf>
    <xf numFmtId="0" fontId="0" fillId="0" borderId="4"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0" fillId="0" borderId="5" xfId="0" applyNumberFormat="1" applyFont="1" applyFill="1" applyBorder="1" applyAlignment="1">
      <alignment vertical="center"/>
    </xf>
    <xf numFmtId="49" fontId="3" fillId="0" borderId="10"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wrapText="1"/>
    </xf>
    <xf numFmtId="0" fontId="0" fillId="0" borderId="0" xfId="0" applyNumberFormat="1" applyFont="1" applyFill="1" applyBorder="1" applyAlignment="1">
      <alignment vertical="center" wrapText="1"/>
    </xf>
    <xf numFmtId="49" fontId="3" fillId="0" borderId="0" xfId="0" applyNumberFormat="1" applyFont="1" applyFill="1" applyBorder="1" applyAlignment="1">
      <alignment horizontal="center" vertical="center"/>
    </xf>
    <xf numFmtId="0" fontId="0" fillId="0" borderId="12" xfId="0" applyNumberFormat="1" applyFont="1" applyFill="1" applyBorder="1" applyAlignment="1">
      <alignment vertical="center"/>
    </xf>
    <xf numFmtId="49" fontId="0" fillId="0" borderId="13" xfId="0" applyNumberFormat="1" applyFont="1" applyFill="1" applyBorder="1" applyAlignment="1">
      <alignment horizontal="center" vertical="center" wrapText="1"/>
    </xf>
    <xf numFmtId="0" fontId="0" fillId="0" borderId="13" xfId="0" applyNumberFormat="1" applyFont="1" applyFill="1" applyBorder="1" applyAlignment="1">
      <alignment vertical="center"/>
    </xf>
    <xf numFmtId="0" fontId="0" fillId="0" borderId="14" xfId="0" applyNumberFormat="1" applyFont="1" applyFill="1" applyBorder="1" applyAlignment="1">
      <alignment vertical="center"/>
    </xf>
    <xf numFmtId="0" fontId="0" fillId="0" borderId="0" xfId="0" applyFont="1" applyFill="1" applyBorder="1" applyAlignment="1">
      <alignment horizontal="center" vertical="center" wrapText="1"/>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0" fillId="0" borderId="6" xfId="0" applyFont="1" applyFill="1" applyBorder="1" applyAlignment="1">
      <alignment vertical="center"/>
    </xf>
    <xf numFmtId="0" fontId="0" fillId="0" borderId="7" xfId="0" applyFont="1" applyFill="1" applyBorder="1" applyAlignment="1">
      <alignment vertical="center"/>
    </xf>
    <xf numFmtId="0" fontId="0" fillId="0" borderId="7" xfId="0" applyFont="1" applyFill="1" applyBorder="1" applyAlignment="1">
      <alignment horizontal="center" vertical="center"/>
    </xf>
    <xf numFmtId="0" fontId="0" fillId="0" borderId="8" xfId="0" applyFont="1" applyFill="1" applyBorder="1" applyAlignment="1">
      <alignment vertical="center"/>
    </xf>
    <xf numFmtId="0" fontId="0" fillId="0" borderId="4"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18" xfId="0" applyFont="1" applyFill="1" applyBorder="1" applyAlignment="1">
      <alignment horizontal="center" vertical="center"/>
    </xf>
    <xf numFmtId="0" fontId="0" fillId="0" borderId="19" xfId="0" applyFont="1" applyFill="1" applyBorder="1" applyAlignment="1">
      <alignment horizontal="center" vertical="center"/>
    </xf>
    <xf numFmtId="0" fontId="0" fillId="0" borderId="20" xfId="0" applyFont="1" applyFill="1" applyBorder="1" applyAlignment="1">
      <alignment horizontal="center" vertical="center"/>
    </xf>
    <xf numFmtId="49" fontId="0" fillId="0" borderId="0" xfId="0" applyNumberFormat="1" applyFont="1" applyFill="1" applyAlignment="1">
      <alignment horizontal="center" vertical="center"/>
    </xf>
    <xf numFmtId="0" fontId="0" fillId="0" borderId="21" xfId="0" applyFont="1" applyFill="1" applyBorder="1" applyAlignment="1">
      <alignment horizontal="center" vertical="center"/>
    </xf>
    <xf numFmtId="0" fontId="0" fillId="0" borderId="22" xfId="0" applyFont="1" applyFill="1" applyBorder="1" applyAlignment="1">
      <alignment horizontal="center" vertical="center"/>
    </xf>
    <xf numFmtId="9" fontId="0" fillId="0" borderId="23" xfId="0" applyNumberFormat="1" applyFont="1" applyFill="1" applyBorder="1" applyAlignment="1">
      <alignment horizontal="center" vertical="center"/>
    </xf>
    <xf numFmtId="49" fontId="4" fillId="0" borderId="0" xfId="0" applyNumberFormat="1" applyFont="1" applyFill="1" applyAlignment="1">
      <alignment horizontal="center" vertical="center"/>
    </xf>
    <xf numFmtId="9" fontId="0" fillId="0" borderId="21" xfId="0" applyNumberFormat="1" applyFont="1" applyFill="1" applyBorder="1" applyAlignment="1">
      <alignment horizontal="center" vertical="center"/>
    </xf>
    <xf numFmtId="0" fontId="4" fillId="0" borderId="0" xfId="0" applyNumberFormat="1" applyFont="1" applyFill="1" applyAlignment="1">
      <alignment vertical="center" wrapText="1"/>
    </xf>
    <xf numFmtId="49" fontId="0" fillId="0" borderId="0" xfId="0" applyNumberFormat="1" applyFont="1" applyFill="1" applyAlignment="1">
      <alignment horizontal="center" vertical="center" wrapText="1"/>
    </xf>
    <xf numFmtId="0" fontId="0" fillId="0" borderId="0" xfId="0" applyNumberFormat="1" applyFont="1" applyFill="1" applyAlignment="1">
      <alignment vertical="center" wrapText="1"/>
    </xf>
    <xf numFmtId="0" fontId="0" fillId="0" borderId="9" xfId="0" applyFont="1" applyFill="1" applyBorder="1" applyAlignment="1">
      <alignment horizontal="center" vertical="center"/>
    </xf>
    <xf numFmtId="9" fontId="0" fillId="0" borderId="24" xfId="0" applyNumberFormat="1" applyFont="1" applyFill="1" applyBorder="1" applyAlignment="1">
      <alignment horizontal="center" vertical="center"/>
    </xf>
    <xf numFmtId="0" fontId="0" fillId="0" borderId="25" xfId="0" applyFont="1" applyFill="1" applyBorder="1" applyAlignment="1">
      <alignment horizontal="center" vertical="center"/>
    </xf>
    <xf numFmtId="0" fontId="0" fillId="0" borderId="24" xfId="0" applyFont="1" applyFill="1" applyBorder="1" applyAlignment="1">
      <alignment horizontal="center" vertical="center"/>
    </xf>
    <xf numFmtId="9" fontId="0" fillId="0" borderId="26" xfId="0" applyNumberFormat="1" applyFont="1" applyFill="1" applyBorder="1" applyAlignment="1">
      <alignment horizontal="center" vertical="center"/>
    </xf>
    <xf numFmtId="0" fontId="0" fillId="0" borderId="12" xfId="0" applyFont="1"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Fill="1" applyBorder="1" applyAlignment="1">
      <alignment vertical="center" wrapText="1"/>
    </xf>
    <xf numFmtId="0" fontId="0" fillId="0" borderId="10" xfId="0" applyFont="1" applyFill="1" applyBorder="1" applyAlignment="1">
      <alignment horizontal="center" vertical="center"/>
    </xf>
    <xf numFmtId="0" fontId="0" fillId="0" borderId="10" xfId="0" applyFont="1" applyFill="1" applyBorder="1" applyAlignment="1">
      <alignment vertical="center"/>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8" xfId="0" applyFont="1" applyFill="1" applyBorder="1" applyAlignment="1">
      <alignment horizontal="center" vertical="center"/>
    </xf>
    <xf numFmtId="0" fontId="0" fillId="0" borderId="10" xfId="0" applyNumberFormat="1" applyFont="1" applyFill="1" applyBorder="1" applyAlignment="1">
      <alignment horizontal="center" vertical="center"/>
    </xf>
    <xf numFmtId="49" fontId="4" fillId="0" borderId="10" xfId="0" applyNumberFormat="1" applyFont="1" applyFill="1" applyBorder="1" applyAlignment="1">
      <alignment horizontal="center" vertical="center"/>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0" fillId="0" borderId="13" xfId="0" applyFont="1" applyFill="1" applyBorder="1" applyAlignment="1">
      <alignment horizontal="center" vertical="center"/>
    </xf>
    <xf numFmtId="49" fontId="4" fillId="0" borderId="13" xfId="0" applyNumberFormat="1" applyFont="1" applyFill="1" applyBorder="1" applyAlignment="1">
      <alignment horizontal="center" vertical="center"/>
    </xf>
    <xf numFmtId="0" fontId="0" fillId="0" borderId="13" xfId="0" applyFont="1" applyFill="1" applyBorder="1" applyAlignment="1">
      <alignment vertical="center"/>
    </xf>
    <xf numFmtId="0" fontId="8" fillId="0" borderId="0" xfId="0" applyFont="1" applyFill="1" applyBorder="1" applyAlignment="1">
      <alignment vertical="center"/>
    </xf>
    <xf numFmtId="0" fontId="0" fillId="0" borderId="11" xfId="0" applyFont="1" applyFill="1" applyBorder="1" applyAlignment="1">
      <alignment horizontal="center" vertical="center"/>
    </xf>
    <xf numFmtId="0" fontId="0" fillId="0" borderId="5" xfId="0" applyFont="1" applyFill="1" applyBorder="1" applyAlignment="1">
      <alignment vertical="center" wrapText="1"/>
    </xf>
    <xf numFmtId="0" fontId="0" fillId="0" borderId="14" xfId="0" applyFont="1" applyFill="1" applyBorder="1" applyAlignment="1">
      <alignment vertical="center"/>
    </xf>
    <xf numFmtId="0" fontId="0" fillId="0" borderId="0" xfId="0" applyBorder="1" applyAlignment="1">
      <alignment horizontal="center" vertical="center"/>
    </xf>
    <xf numFmtId="0" fontId="0" fillId="0" borderId="0" xfId="0" applyBorder="1">
      <alignment vertical="center"/>
    </xf>
    <xf numFmtId="9" fontId="0" fillId="0" borderId="4" xfId="0" applyNumberFormat="1" applyFont="1" applyFill="1" applyBorder="1" applyAlignment="1">
      <alignment horizontal="center" vertical="center"/>
    </xf>
    <xf numFmtId="9" fontId="0" fillId="0" borderId="9" xfId="0" applyNumberFormat="1" applyFont="1" applyFill="1" applyBorder="1" applyAlignment="1">
      <alignment horizontal="center" vertical="center"/>
    </xf>
    <xf numFmtId="0" fontId="4" fillId="0" borderId="10" xfId="0" applyNumberFormat="1" applyFont="1" applyFill="1" applyBorder="1" applyAlignment="1">
      <alignment vertical="center"/>
    </xf>
    <xf numFmtId="9" fontId="0" fillId="0" borderId="12" xfId="0" applyNumberFormat="1" applyFont="1" applyFill="1" applyBorder="1" applyAlignment="1">
      <alignment horizontal="center" vertical="center"/>
    </xf>
    <xf numFmtId="0" fontId="0" fillId="0" borderId="13" xfId="0" applyNumberFormat="1" applyBorder="1">
      <alignment vertical="center"/>
    </xf>
    <xf numFmtId="0" fontId="0" fillId="0" borderId="14" xfId="0" applyNumberFormat="1" applyBorder="1">
      <alignment vertical="center"/>
    </xf>
    <xf numFmtId="0" fontId="8" fillId="0" borderId="0" xfId="0" applyFont="1" applyFill="1" applyAlignment="1">
      <alignment horizontal="center" vertical="center"/>
    </xf>
    <xf numFmtId="0" fontId="0" fillId="2" borderId="4" xfId="0" applyFont="1" applyFill="1" applyBorder="1" applyAlignment="1">
      <alignment horizontal="center" vertical="center"/>
    </xf>
    <xf numFmtId="0" fontId="0" fillId="2" borderId="0" xfId="0" applyFont="1" applyFill="1" applyBorder="1" applyAlignment="1">
      <alignment horizontal="center" vertical="center"/>
    </xf>
    <xf numFmtId="177" fontId="0" fillId="2" borderId="0" xfId="0" applyNumberFormat="1" applyFont="1" applyFill="1" applyBorder="1" applyAlignment="1">
      <alignment horizontal="center" vertical="center"/>
    </xf>
    <xf numFmtId="0" fontId="0" fillId="2" borderId="5" xfId="0" applyFont="1" applyFill="1" applyBorder="1" applyAlignment="1">
      <alignment horizontal="center" vertical="center"/>
    </xf>
    <xf numFmtId="0" fontId="0" fillId="6" borderId="4" xfId="0" applyFont="1" applyFill="1" applyBorder="1" applyAlignment="1">
      <alignment horizontal="center" vertical="center"/>
    </xf>
    <xf numFmtId="9" fontId="0" fillId="6" borderId="10" xfId="0" applyNumberFormat="1" applyFont="1" applyFill="1" applyBorder="1" applyAlignment="1">
      <alignment horizontal="center" vertical="center"/>
    </xf>
    <xf numFmtId="0" fontId="0" fillId="6" borderId="10" xfId="0" applyFont="1" applyFill="1" applyBorder="1" applyAlignment="1">
      <alignment vertical="center"/>
    </xf>
    <xf numFmtId="0" fontId="0" fillId="6" borderId="10" xfId="0" applyFont="1" applyFill="1" applyBorder="1" applyAlignment="1">
      <alignment horizontal="center" vertical="center"/>
    </xf>
    <xf numFmtId="0" fontId="0" fillId="6" borderId="11" xfId="0" applyFont="1" applyFill="1" applyBorder="1" applyAlignment="1">
      <alignment horizontal="center" vertical="center"/>
    </xf>
    <xf numFmtId="0" fontId="0" fillId="6" borderId="10" xfId="0" applyFill="1" applyBorder="1">
      <alignment vertical="center"/>
    </xf>
    <xf numFmtId="9" fontId="0" fillId="6" borderId="0" xfId="0" applyNumberFormat="1" applyFont="1" applyFill="1" applyBorder="1" applyAlignment="1">
      <alignment horizontal="center" vertical="center"/>
    </xf>
    <xf numFmtId="0" fontId="0" fillId="6" borderId="0" xfId="0" applyFont="1" applyFill="1" applyBorder="1" applyAlignment="1">
      <alignment vertical="center"/>
    </xf>
    <xf numFmtId="0" fontId="3" fillId="6" borderId="0" xfId="0" applyFont="1" applyFill="1" applyBorder="1" applyAlignment="1">
      <alignment vertical="center"/>
    </xf>
    <xf numFmtId="0" fontId="0" fillId="6" borderId="0" xfId="0" applyFont="1" applyFill="1" applyBorder="1" applyAlignment="1">
      <alignment horizontal="center" vertical="center"/>
    </xf>
    <xf numFmtId="0" fontId="0" fillId="6" borderId="5" xfId="0" applyFont="1" applyFill="1" applyBorder="1" applyAlignment="1">
      <alignment horizontal="center" vertical="center"/>
    </xf>
    <xf numFmtId="0" fontId="0" fillId="6" borderId="9" xfId="0" applyFont="1" applyFill="1" applyBorder="1" applyAlignment="1">
      <alignment horizontal="center" vertical="center"/>
    </xf>
    <xf numFmtId="9" fontId="0" fillId="2" borderId="10" xfId="0" applyNumberFormat="1" applyFont="1" applyFill="1" applyBorder="1" applyAlignment="1">
      <alignment horizontal="center" vertical="center"/>
    </xf>
    <xf numFmtId="0" fontId="0" fillId="2" borderId="10" xfId="0" applyFont="1" applyFill="1" applyBorder="1" applyAlignment="1">
      <alignment vertical="center"/>
    </xf>
    <xf numFmtId="0" fontId="0" fillId="2" borderId="10" xfId="0" applyFont="1" applyFill="1" applyBorder="1" applyAlignment="1">
      <alignment vertical="center" wrapText="1"/>
    </xf>
    <xf numFmtId="0" fontId="0" fillId="2" borderId="10" xfId="0" applyFont="1" applyFill="1" applyBorder="1" applyAlignment="1">
      <alignment horizontal="center" vertical="center"/>
    </xf>
    <xf numFmtId="0" fontId="0" fillId="2" borderId="11" xfId="0" applyFont="1" applyFill="1" applyBorder="1" applyAlignment="1">
      <alignment horizontal="center" vertical="center"/>
    </xf>
    <xf numFmtId="9" fontId="0" fillId="2" borderId="0" xfId="0" applyNumberFormat="1" applyFont="1" applyFill="1" applyBorder="1" applyAlignment="1">
      <alignment horizontal="center" vertical="center"/>
    </xf>
    <xf numFmtId="0" fontId="0" fillId="2" borderId="0" xfId="0" applyFont="1" applyFill="1" applyBorder="1" applyAlignment="1">
      <alignment vertical="center"/>
    </xf>
    <xf numFmtId="0" fontId="4" fillId="2" borderId="0" xfId="0" applyFont="1" applyFill="1" applyBorder="1" applyAlignment="1">
      <alignment vertical="center"/>
    </xf>
    <xf numFmtId="0" fontId="0" fillId="2" borderId="9" xfId="0" applyFont="1" applyFill="1" applyBorder="1" applyAlignment="1">
      <alignment horizontal="center" vertical="center"/>
    </xf>
    <xf numFmtId="0" fontId="0" fillId="3" borderId="4" xfId="0" applyFont="1" applyFill="1" applyBorder="1" applyAlignment="1">
      <alignment horizontal="center" vertical="center"/>
    </xf>
    <xf numFmtId="9" fontId="0" fillId="3" borderId="10" xfId="0" applyNumberFormat="1" applyFont="1" applyFill="1" applyBorder="1" applyAlignment="1">
      <alignment horizontal="center" vertical="center"/>
    </xf>
    <xf numFmtId="0" fontId="0" fillId="3" borderId="10" xfId="0" applyFont="1" applyFill="1" applyBorder="1" applyAlignment="1">
      <alignment vertical="center"/>
    </xf>
    <xf numFmtId="0" fontId="0" fillId="3" borderId="10" xfId="0" applyFont="1" applyFill="1" applyBorder="1" applyAlignment="1">
      <alignment horizontal="center" vertical="center"/>
    </xf>
    <xf numFmtId="0" fontId="0" fillId="3" borderId="11" xfId="0" applyFont="1" applyFill="1" applyBorder="1" applyAlignment="1">
      <alignment horizontal="center" vertical="center"/>
    </xf>
    <xf numFmtId="9" fontId="0" fillId="3" borderId="0" xfId="0" applyNumberFormat="1" applyFont="1" applyFill="1" applyBorder="1" applyAlignment="1">
      <alignment horizontal="center" vertical="center"/>
    </xf>
    <xf numFmtId="0" fontId="0" fillId="3" borderId="0" xfId="0" applyFont="1" applyFill="1" applyBorder="1" applyAlignment="1">
      <alignment vertical="center"/>
    </xf>
    <xf numFmtId="0" fontId="0" fillId="3" borderId="0" xfId="0" applyFont="1" applyFill="1" applyBorder="1" applyAlignment="1">
      <alignment horizontal="center" vertical="center"/>
    </xf>
    <xf numFmtId="0" fontId="0" fillId="3" borderId="5" xfId="0" applyFont="1" applyFill="1" applyBorder="1" applyAlignment="1">
      <alignment horizontal="center" vertical="center"/>
    </xf>
    <xf numFmtId="0" fontId="0" fillId="3" borderId="9" xfId="0" applyFont="1" applyFill="1" applyBorder="1" applyAlignment="1">
      <alignment horizontal="center" vertical="center"/>
    </xf>
    <xf numFmtId="0" fontId="0" fillId="4" borderId="4" xfId="0" applyFont="1" applyFill="1" applyBorder="1" applyAlignment="1">
      <alignment horizontal="center" vertical="center"/>
    </xf>
    <xf numFmtId="9" fontId="0" fillId="4" borderId="10" xfId="0" applyNumberFormat="1" applyFont="1" applyFill="1" applyBorder="1" applyAlignment="1">
      <alignment horizontal="center" vertical="center"/>
    </xf>
    <xf numFmtId="0" fontId="0" fillId="4" borderId="10" xfId="0" applyFont="1" applyFill="1" applyBorder="1" applyAlignment="1">
      <alignment vertical="center"/>
    </xf>
    <xf numFmtId="0" fontId="0" fillId="4" borderId="10" xfId="0" applyFont="1" applyFill="1" applyBorder="1" applyAlignment="1">
      <alignment horizontal="center" vertical="center"/>
    </xf>
    <xf numFmtId="0" fontId="0" fillId="4" borderId="11" xfId="0" applyFont="1" applyFill="1" applyBorder="1" applyAlignment="1">
      <alignment horizontal="center" vertical="center"/>
    </xf>
    <xf numFmtId="9" fontId="0" fillId="4" borderId="0" xfId="0" applyNumberFormat="1" applyFont="1" applyFill="1" applyBorder="1" applyAlignment="1">
      <alignment horizontal="center" vertical="center"/>
    </xf>
    <xf numFmtId="0" fontId="0" fillId="4" borderId="0" xfId="0" applyFont="1" applyFill="1" applyBorder="1" applyAlignment="1">
      <alignment vertical="center"/>
    </xf>
    <xf numFmtId="0" fontId="0" fillId="4" borderId="0" xfId="0" applyFont="1" applyFill="1" applyBorder="1" applyAlignment="1">
      <alignment horizontal="center" vertical="center"/>
    </xf>
    <xf numFmtId="0" fontId="0" fillId="4" borderId="5" xfId="0" applyFont="1" applyFill="1" applyBorder="1" applyAlignment="1">
      <alignment horizontal="center" vertical="center"/>
    </xf>
    <xf numFmtId="0" fontId="0" fillId="4" borderId="9" xfId="0" applyFont="1" applyFill="1" applyBorder="1" applyAlignment="1">
      <alignment horizontal="center" vertical="center"/>
    </xf>
    <xf numFmtId="0" fontId="0" fillId="5" borderId="9" xfId="0" applyFont="1" applyFill="1" applyBorder="1" applyAlignment="1">
      <alignment horizontal="center" vertical="center"/>
    </xf>
    <xf numFmtId="9" fontId="0" fillId="5" borderId="10" xfId="0" applyNumberFormat="1" applyFont="1" applyFill="1" applyBorder="1" applyAlignment="1">
      <alignment horizontal="center" vertical="center"/>
    </xf>
    <xf numFmtId="0" fontId="0" fillId="5" borderId="10" xfId="0" applyFont="1" applyFill="1" applyBorder="1" applyAlignment="1">
      <alignment vertical="center"/>
    </xf>
    <xf numFmtId="0" fontId="0" fillId="5" borderId="10" xfId="0" applyFont="1" applyFill="1" applyBorder="1" applyAlignment="1">
      <alignment horizontal="center" vertical="center"/>
    </xf>
    <xf numFmtId="0" fontId="0" fillId="5" borderId="11" xfId="0" applyFont="1" applyFill="1" applyBorder="1" applyAlignment="1">
      <alignment horizontal="center" vertical="center"/>
    </xf>
    <xf numFmtId="0" fontId="0" fillId="9" borderId="9" xfId="0" applyFont="1" applyFill="1" applyBorder="1" applyAlignment="1">
      <alignment horizontal="center" vertical="center"/>
    </xf>
    <xf numFmtId="9" fontId="0" fillId="9" borderId="10" xfId="0" applyNumberFormat="1" applyFont="1" applyFill="1" applyBorder="1" applyAlignment="1">
      <alignment horizontal="center" vertical="center"/>
    </xf>
    <xf numFmtId="0" fontId="0" fillId="9" borderId="10" xfId="0" applyFont="1" applyFill="1" applyBorder="1" applyAlignment="1">
      <alignment vertical="center"/>
    </xf>
    <xf numFmtId="0" fontId="4" fillId="9" borderId="10" xfId="0" applyFont="1" applyFill="1" applyBorder="1" applyAlignment="1">
      <alignment vertical="center"/>
    </xf>
    <xf numFmtId="0" fontId="0" fillId="9" borderId="10" xfId="0" applyFont="1" applyFill="1" applyBorder="1" applyAlignment="1">
      <alignment horizontal="center" vertical="center"/>
    </xf>
    <xf numFmtId="0" fontId="0" fillId="9" borderId="11" xfId="0" applyFont="1" applyFill="1" applyBorder="1" applyAlignment="1">
      <alignment horizontal="center" vertical="center"/>
    </xf>
    <xf numFmtId="0" fontId="0" fillId="10" borderId="4" xfId="0" applyFont="1" applyFill="1" applyBorder="1" applyAlignment="1">
      <alignment horizontal="center" vertical="center"/>
    </xf>
    <xf numFmtId="0" fontId="0" fillId="10" borderId="9" xfId="0" applyFont="1" applyFill="1" applyBorder="1" applyAlignment="1">
      <alignment horizontal="center" vertical="center"/>
    </xf>
    <xf numFmtId="0" fontId="0" fillId="0" borderId="12" xfId="0" applyFont="1" applyFill="1" applyBorder="1" applyAlignment="1">
      <alignment horizontal="center" vertical="center"/>
    </xf>
    <xf numFmtId="0" fontId="0" fillId="2" borderId="13" xfId="0" applyFont="1" applyFill="1" applyBorder="1" applyAlignment="1">
      <alignment horizontal="center" vertical="center"/>
    </xf>
    <xf numFmtId="0" fontId="0" fillId="2" borderId="13" xfId="0" applyFont="1" applyFill="1" applyBorder="1" applyAlignment="1">
      <alignment vertical="center"/>
    </xf>
    <xf numFmtId="0" fontId="0" fillId="2" borderId="14" xfId="0" applyFont="1" applyFill="1" applyBorder="1" applyAlignment="1">
      <alignment horizontal="center" vertical="center"/>
    </xf>
    <xf numFmtId="0" fontId="9" fillId="0" borderId="0" xfId="0" applyFont="1">
      <alignment vertical="center"/>
    </xf>
    <xf numFmtId="0" fontId="10" fillId="0" borderId="0" xfId="0" applyFont="1">
      <alignment vertical="center"/>
    </xf>
    <xf numFmtId="0" fontId="0" fillId="0" borderId="0" xfId="0" applyFont="1" applyFill="1" applyBorder="1" applyAlignment="1" quotePrefix="1">
      <alignment horizontal="center" vertical="center"/>
    </xf>
    <xf numFmtId="0" fontId="0" fillId="0" borderId="10" xfId="0" applyFont="1" applyFill="1" applyBorder="1" applyAlignment="1" quotePrefix="1">
      <alignment horizontal="center" vertical="center"/>
    </xf>
    <xf numFmtId="9" fontId="0" fillId="0" borderId="0" xfId="0" applyNumberFormat="1" applyFont="1" applyFill="1" applyBorder="1" applyAlignment="1" quotePrefix="1">
      <alignment horizontal="center" vertical="center"/>
    </xf>
    <xf numFmtId="9" fontId="0" fillId="0" borderId="13" xfId="0" applyNumberFormat="1"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00000000-0000-0000-0000-000000000000}" r:id="rId1" ax:persistence="persistStreamInit"/>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0</xdr:colOff>
          <xdr:row>1</xdr:row>
          <xdr:rowOff>0</xdr:rowOff>
        </xdr:to>
        <xdr:sp>
          <xdr:nvSpPr>
            <xdr:cNvPr id="1025" name="Host Control  1" hidden="1">
              <a:extLst>
                <a:ext uri="{63B3BB69-23CF-44E3-9099-C40C66FF867C}">
                  <a14:compatExt spid="_x0000_s1025"/>
                </a:ext>
              </a:extLst>
            </xdr:cNvPr>
            <xdr:cNvSpPr/>
          </xdr:nvSpPr>
          <xdr:spPr>
            <a:xfrm>
              <a:off x="0" y="0"/>
              <a:ext cx="0" cy="20955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C7"/>
  <sheetViews>
    <sheetView topLeftCell="C1" workbookViewId="0">
      <selection activeCell="C10" sqref="C10"/>
    </sheetView>
  </sheetViews>
  <sheetFormatPr defaultColWidth="8.88888888888889" defaultRowHeight="16.5" outlineLevelRow="6" outlineLevelCol="2"/>
  <cols>
    <col min="3" max="3" width="200" customWidth="1"/>
  </cols>
  <sheetData>
    <row r="4" ht="101.25" spans="3:3">
      <c r="C4" s="230" t="s">
        <v>0</v>
      </c>
    </row>
    <row r="5" ht="32.25" spans="3:3">
      <c r="C5" s="231" t="s">
        <v>1</v>
      </c>
    </row>
    <row r="6" ht="33.75" spans="3:3">
      <c r="C6" s="231" t="s">
        <v>2</v>
      </c>
    </row>
    <row r="7" ht="33.75" spans="3:3">
      <c r="C7" s="231"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tabSelected="1" zoomScale="115" zoomScaleNormal="115" workbookViewId="0">
      <pane ySplit="3" topLeftCell="A4" activePane="bottomLeft" state="frozen"/>
      <selection/>
      <selection pane="bottomLeft" activeCell="H19" sqref="H19"/>
    </sheetView>
  </sheetViews>
  <sheetFormatPr defaultColWidth="8.88888888888889" defaultRowHeight="16.5" outlineLevelCol="5"/>
  <cols>
    <col min="1" max="1" width="9.55555555555556" style="160" customWidth="1"/>
    <col min="2" max="2" width="9.33333333333333" style="160" customWidth="1"/>
    <col min="3" max="3" width="9.55555555555556" style="160" customWidth="1"/>
    <col min="4" max="4" width="40.3333333333333" style="160" customWidth="1"/>
    <col min="5" max="5" width="15" style="159" customWidth="1"/>
    <col min="6" max="6" width="4.55555555555556" style="160" customWidth="1"/>
    <col min="7" max="16384" width="8.88888888888889" style="160"/>
  </cols>
  <sheetData>
    <row r="1" ht="22.5" spans="1:6">
      <c r="A1" s="110" t="s">
        <v>4</v>
      </c>
      <c r="B1" s="111"/>
      <c r="C1" s="111"/>
      <c r="D1" s="111"/>
      <c r="E1" s="111"/>
      <c r="F1" s="112"/>
    </row>
    <row r="2" spans="1:6">
      <c r="A2" s="80" t="s">
        <v>5</v>
      </c>
      <c r="B2" s="71"/>
      <c r="C2" s="71"/>
      <c r="D2" s="71"/>
      <c r="E2" s="72"/>
      <c r="F2" s="82"/>
    </row>
    <row r="3" spans="1:6">
      <c r="A3" s="168" t="s">
        <v>6</v>
      </c>
      <c r="B3" s="169" t="s">
        <v>7</v>
      </c>
      <c r="C3" s="169" t="s">
        <v>8</v>
      </c>
      <c r="D3" s="170" t="s">
        <v>9</v>
      </c>
      <c r="E3" s="169" t="s">
        <v>10</v>
      </c>
      <c r="F3" s="171" t="s">
        <v>11</v>
      </c>
    </row>
    <row r="4" spans="1:6">
      <c r="A4" s="172" t="s">
        <v>12</v>
      </c>
      <c r="B4" s="173" t="s">
        <v>13</v>
      </c>
      <c r="C4" s="174" t="s">
        <v>14</v>
      </c>
      <c r="D4" s="174" t="s">
        <v>15</v>
      </c>
      <c r="E4" s="175"/>
      <c r="F4" s="176" t="s">
        <v>16</v>
      </c>
    </row>
    <row r="5" spans="1:6">
      <c r="A5" s="172"/>
      <c r="B5" s="173">
        <v>0.34</v>
      </c>
      <c r="C5" s="174" t="s">
        <v>17</v>
      </c>
      <c r="D5" s="177"/>
      <c r="E5" s="175" t="s">
        <v>18</v>
      </c>
      <c r="F5" s="176" t="s">
        <v>19</v>
      </c>
    </row>
    <row r="6" spans="1:6">
      <c r="A6" s="172"/>
      <c r="B6" s="178">
        <v>0.3</v>
      </c>
      <c r="C6" s="179" t="s">
        <v>20</v>
      </c>
      <c r="D6" s="180" t="s">
        <v>21</v>
      </c>
      <c r="E6" s="181"/>
      <c r="F6" s="182" t="s">
        <v>22</v>
      </c>
    </row>
    <row r="7" spans="1:6">
      <c r="A7" s="172"/>
      <c r="B7" s="178"/>
      <c r="C7" s="179" t="s">
        <v>23</v>
      </c>
      <c r="D7" s="179"/>
      <c r="E7" s="181"/>
      <c r="F7" s="182" t="s">
        <v>19</v>
      </c>
    </row>
    <row r="8" spans="1:6">
      <c r="A8" s="172"/>
      <c r="B8" s="178"/>
      <c r="C8" s="174" t="s">
        <v>24</v>
      </c>
      <c r="D8" s="174"/>
      <c r="E8" s="175"/>
      <c r="F8" s="176" t="s">
        <v>25</v>
      </c>
    </row>
    <row r="9" spans="1:6">
      <c r="A9" s="172"/>
      <c r="B9" s="178"/>
      <c r="C9" s="179" t="s">
        <v>26</v>
      </c>
      <c r="D9" s="179"/>
      <c r="E9" s="181"/>
      <c r="F9" s="182" t="s">
        <v>27</v>
      </c>
    </row>
    <row r="10" spans="1:6">
      <c r="A10" s="172"/>
      <c r="B10" s="178"/>
      <c r="C10" s="179" t="s">
        <v>28</v>
      </c>
      <c r="D10" s="179"/>
      <c r="E10" s="181"/>
      <c r="F10" s="182" t="s">
        <v>19</v>
      </c>
    </row>
    <row r="11" spans="1:6">
      <c r="A11" s="172"/>
      <c r="B11" s="178"/>
      <c r="C11" s="179" t="s">
        <v>29</v>
      </c>
      <c r="D11" s="179"/>
      <c r="E11" s="181"/>
      <c r="F11" s="182" t="s">
        <v>19</v>
      </c>
    </row>
    <row r="12" spans="1:6">
      <c r="A12" s="172"/>
      <c r="B12" s="178"/>
      <c r="C12" s="179" t="s">
        <v>30</v>
      </c>
      <c r="D12" s="179"/>
      <c r="E12" s="181"/>
      <c r="F12" s="182" t="s">
        <v>19</v>
      </c>
    </row>
    <row r="13" spans="1:6">
      <c r="A13" s="183"/>
      <c r="B13" s="173"/>
      <c r="C13" s="174" t="s">
        <v>31</v>
      </c>
      <c r="D13" s="174"/>
      <c r="E13" s="175"/>
      <c r="F13" s="176" t="s">
        <v>22</v>
      </c>
    </row>
    <row r="14" ht="66" spans="1:6">
      <c r="A14" s="168" t="s">
        <v>32</v>
      </c>
      <c r="B14" s="184" t="s">
        <v>33</v>
      </c>
      <c r="C14" s="185" t="s">
        <v>34</v>
      </c>
      <c r="D14" s="186" t="s">
        <v>35</v>
      </c>
      <c r="E14" s="187"/>
      <c r="F14" s="188" t="s">
        <v>22</v>
      </c>
    </row>
    <row r="15" spans="1:6">
      <c r="A15" s="168"/>
      <c r="B15" s="189">
        <v>0.25</v>
      </c>
      <c r="C15" s="190" t="s">
        <v>36</v>
      </c>
      <c r="D15" s="190"/>
      <c r="E15" s="169"/>
      <c r="F15" s="171" t="s">
        <v>27</v>
      </c>
    </row>
    <row r="16" spans="1:6">
      <c r="A16" s="168"/>
      <c r="B16" s="189"/>
      <c r="C16" s="190" t="s">
        <v>37</v>
      </c>
      <c r="D16" s="190"/>
      <c r="E16" s="169"/>
      <c r="F16" s="171" t="s">
        <v>22</v>
      </c>
    </row>
    <row r="17" spans="1:6">
      <c r="A17" s="168"/>
      <c r="B17" s="189"/>
      <c r="C17" s="190" t="s">
        <v>38</v>
      </c>
      <c r="D17" s="191" t="s">
        <v>39</v>
      </c>
      <c r="E17" s="169"/>
      <c r="F17" s="171" t="s">
        <v>19</v>
      </c>
    </row>
    <row r="18" spans="1:6">
      <c r="A18" s="168"/>
      <c r="B18" s="189"/>
      <c r="C18" s="190" t="s">
        <v>40</v>
      </c>
      <c r="D18" s="190"/>
      <c r="E18" s="169"/>
      <c r="F18" s="171" t="s">
        <v>41</v>
      </c>
    </row>
    <row r="19" spans="1:6">
      <c r="A19" s="168"/>
      <c r="B19" s="189"/>
      <c r="C19" s="190" t="s">
        <v>42</v>
      </c>
      <c r="D19" s="190"/>
      <c r="E19" s="169"/>
      <c r="F19" s="171" t="s">
        <v>43</v>
      </c>
    </row>
    <row r="20" spans="1:6">
      <c r="A20" s="168"/>
      <c r="B20" s="184"/>
      <c r="C20" s="185" t="s">
        <v>44</v>
      </c>
      <c r="D20" s="185"/>
      <c r="E20" s="187"/>
      <c r="F20" s="188" t="s">
        <v>45</v>
      </c>
    </row>
    <row r="21" spans="1:6">
      <c r="A21" s="168"/>
      <c r="B21" s="169" t="s">
        <v>46</v>
      </c>
      <c r="C21" s="190" t="s">
        <v>47</v>
      </c>
      <c r="D21" s="190" t="s">
        <v>48</v>
      </c>
      <c r="E21" s="169"/>
      <c r="F21" s="171" t="s">
        <v>19</v>
      </c>
    </row>
    <row r="22" spans="1:6">
      <c r="A22" s="168"/>
      <c r="B22" s="187" t="s">
        <v>49</v>
      </c>
      <c r="C22" s="185" t="s">
        <v>50</v>
      </c>
      <c r="D22" s="185" t="s">
        <v>51</v>
      </c>
      <c r="E22" s="187"/>
      <c r="F22" s="188" t="s">
        <v>22</v>
      </c>
    </row>
    <row r="23" spans="1:6">
      <c r="A23" s="168"/>
      <c r="B23" s="189">
        <v>0.16</v>
      </c>
      <c r="C23" s="190" t="s">
        <v>52</v>
      </c>
      <c r="D23" s="190" t="s">
        <v>53</v>
      </c>
      <c r="E23" s="169"/>
      <c r="F23" s="171" t="s">
        <v>22</v>
      </c>
    </row>
    <row r="24" spans="1:6">
      <c r="A24" s="192"/>
      <c r="B24" s="184">
        <v>0.1</v>
      </c>
      <c r="C24" s="185" t="s">
        <v>54</v>
      </c>
      <c r="D24" s="185" t="s">
        <v>55</v>
      </c>
      <c r="E24" s="187"/>
      <c r="F24" s="188" t="s">
        <v>25</v>
      </c>
    </row>
    <row r="25" spans="1:6">
      <c r="A25" s="193" t="s">
        <v>56</v>
      </c>
      <c r="B25" s="194">
        <v>0.4</v>
      </c>
      <c r="C25" s="195" t="s">
        <v>57</v>
      </c>
      <c r="D25" s="195" t="s">
        <v>58</v>
      </c>
      <c r="E25" s="196" t="s">
        <v>59</v>
      </c>
      <c r="F25" s="197" t="s">
        <v>43</v>
      </c>
    </row>
    <row r="26" spans="1:6">
      <c r="A26" s="193"/>
      <c r="B26" s="194">
        <v>0.35</v>
      </c>
      <c r="C26" s="195" t="s">
        <v>60</v>
      </c>
      <c r="D26" s="195"/>
      <c r="E26" s="196"/>
      <c r="F26" s="197" t="s">
        <v>16</v>
      </c>
    </row>
    <row r="27" spans="1:6">
      <c r="A27" s="193"/>
      <c r="B27" s="198">
        <v>0.3</v>
      </c>
      <c r="C27" s="199" t="s">
        <v>61</v>
      </c>
      <c r="D27" s="199"/>
      <c r="E27" s="200"/>
      <c r="F27" s="201" t="s">
        <v>41</v>
      </c>
    </row>
    <row r="28" spans="1:6">
      <c r="A28" s="202"/>
      <c r="B28" s="194"/>
      <c r="C28" s="195" t="s">
        <v>62</v>
      </c>
      <c r="D28" s="195"/>
      <c r="E28" s="196"/>
      <c r="F28" s="197" t="s">
        <v>25</v>
      </c>
    </row>
    <row r="29" spans="1:6">
      <c r="A29" s="168" t="s">
        <v>63</v>
      </c>
      <c r="B29" s="184">
        <v>0.35</v>
      </c>
      <c r="C29" s="185" t="s">
        <v>64</v>
      </c>
      <c r="D29" s="185"/>
      <c r="E29" s="187" t="s">
        <v>65</v>
      </c>
      <c r="F29" s="188" t="s">
        <v>19</v>
      </c>
    </row>
    <row r="30" spans="1:6">
      <c r="A30" s="168"/>
      <c r="B30" s="189">
        <v>0.3</v>
      </c>
      <c r="C30" s="190" t="s">
        <v>66</v>
      </c>
      <c r="D30" s="190"/>
      <c r="E30" s="169"/>
      <c r="F30" s="171" t="s">
        <v>27</v>
      </c>
    </row>
    <row r="31" spans="1:6">
      <c r="A31" s="168"/>
      <c r="B31" s="189"/>
      <c r="C31" s="190" t="s">
        <v>67</v>
      </c>
      <c r="D31" s="190" t="s">
        <v>68</v>
      </c>
      <c r="E31" s="169" t="s">
        <v>59</v>
      </c>
      <c r="F31" s="171" t="s">
        <v>19</v>
      </c>
    </row>
    <row r="32" spans="1:6">
      <c r="A32" s="168"/>
      <c r="B32" s="189"/>
      <c r="C32" s="190" t="s">
        <v>69</v>
      </c>
      <c r="D32" s="190"/>
      <c r="E32" s="169"/>
      <c r="F32" s="171" t="s">
        <v>22</v>
      </c>
    </row>
    <row r="33" spans="1:6">
      <c r="A33" s="192"/>
      <c r="B33" s="184"/>
      <c r="C33" s="185" t="s">
        <v>70</v>
      </c>
      <c r="D33" s="185"/>
      <c r="E33" s="187"/>
      <c r="F33" s="188" t="s">
        <v>19</v>
      </c>
    </row>
    <row r="34" spans="1:6">
      <c r="A34" s="203" t="s">
        <v>71</v>
      </c>
      <c r="B34" s="204">
        <v>0.2</v>
      </c>
      <c r="C34" s="205" t="s">
        <v>72</v>
      </c>
      <c r="D34" s="205"/>
      <c r="E34" s="206"/>
      <c r="F34" s="207" t="s">
        <v>41</v>
      </c>
    </row>
    <row r="35" spans="1:6">
      <c r="A35" s="203"/>
      <c r="B35" s="208">
        <v>0.15</v>
      </c>
      <c r="C35" s="209" t="s">
        <v>73</v>
      </c>
      <c r="D35" s="209"/>
      <c r="E35" s="210" t="s">
        <v>18</v>
      </c>
      <c r="F35" s="211" t="s">
        <v>41</v>
      </c>
    </row>
    <row r="36" spans="1:6">
      <c r="A36" s="203"/>
      <c r="B36" s="208"/>
      <c r="C36" s="209" t="s">
        <v>74</v>
      </c>
      <c r="D36" s="209"/>
      <c r="E36" s="210"/>
      <c r="F36" s="211" t="s">
        <v>16</v>
      </c>
    </row>
    <row r="37" spans="1:6">
      <c r="A37" s="203"/>
      <c r="B37" s="208"/>
      <c r="C37" s="209" t="s">
        <v>75</v>
      </c>
      <c r="D37" s="209" t="s">
        <v>76</v>
      </c>
      <c r="E37" s="210"/>
      <c r="F37" s="211" t="s">
        <v>41</v>
      </c>
    </row>
    <row r="38" spans="1:6">
      <c r="A38" s="212"/>
      <c r="B38" s="204"/>
      <c r="C38" s="205" t="s">
        <v>77</v>
      </c>
      <c r="D38" s="205" t="s">
        <v>78</v>
      </c>
      <c r="E38" s="206" t="s">
        <v>59</v>
      </c>
      <c r="F38" s="207" t="s">
        <v>41</v>
      </c>
    </row>
    <row r="39" spans="1:6">
      <c r="A39" s="213" t="s">
        <v>79</v>
      </c>
      <c r="B39" s="214">
        <v>0.5</v>
      </c>
      <c r="C39" s="215" t="s">
        <v>80</v>
      </c>
      <c r="D39" s="215" t="s">
        <v>81</v>
      </c>
      <c r="E39" s="216" t="s">
        <v>18</v>
      </c>
      <c r="F39" s="217" t="s">
        <v>22</v>
      </c>
    </row>
    <row r="40" spans="1:6">
      <c r="A40" s="218" t="s">
        <v>82</v>
      </c>
      <c r="B40" s="219">
        <v>0.45</v>
      </c>
      <c r="C40" s="220" t="s">
        <v>83</v>
      </c>
      <c r="D40" s="221" t="s">
        <v>84</v>
      </c>
      <c r="E40" s="222"/>
      <c r="F40" s="223" t="s">
        <v>45</v>
      </c>
    </row>
    <row r="41" spans="1:6">
      <c r="A41" s="224" t="s">
        <v>85</v>
      </c>
      <c r="B41" s="181" t="s">
        <v>86</v>
      </c>
      <c r="C41" s="179" t="s">
        <v>87</v>
      </c>
      <c r="D41" s="179"/>
      <c r="E41" s="181"/>
      <c r="F41" s="182" t="s">
        <v>41</v>
      </c>
    </row>
    <row r="42" spans="1:6">
      <c r="A42" s="225"/>
      <c r="B42" s="187" t="s">
        <v>88</v>
      </c>
      <c r="C42" s="185" t="s">
        <v>89</v>
      </c>
      <c r="D42" s="185" t="s">
        <v>90</v>
      </c>
      <c r="E42" s="187" t="s">
        <v>18</v>
      </c>
      <c r="F42" s="188" t="s">
        <v>41</v>
      </c>
    </row>
    <row r="43" spans="1:6">
      <c r="A43" s="117" t="s">
        <v>91</v>
      </c>
      <c r="B43" s="169" t="s">
        <v>92</v>
      </c>
      <c r="C43" s="190" t="s">
        <v>93</v>
      </c>
      <c r="D43" s="190" t="s">
        <v>94</v>
      </c>
      <c r="E43" s="169" t="s">
        <v>95</v>
      </c>
      <c r="F43" s="171" t="s">
        <v>16</v>
      </c>
    </row>
    <row r="44" spans="1:6">
      <c r="A44" s="117"/>
      <c r="B44" s="200" t="s">
        <v>96</v>
      </c>
      <c r="C44" s="199" t="s">
        <v>97</v>
      </c>
      <c r="D44" s="199" t="s">
        <v>98</v>
      </c>
      <c r="E44" s="200" t="s">
        <v>99</v>
      </c>
      <c r="F44" s="201" t="s">
        <v>19</v>
      </c>
    </row>
    <row r="45" ht="17.25" spans="1:6">
      <c r="A45" s="226"/>
      <c r="B45" s="227" t="s">
        <v>100</v>
      </c>
      <c r="C45" s="228" t="s">
        <v>101</v>
      </c>
      <c r="D45" s="228" t="s">
        <v>102</v>
      </c>
      <c r="E45" s="227" t="s">
        <v>103</v>
      </c>
      <c r="F45" s="229" t="s">
        <v>25</v>
      </c>
    </row>
  </sheetData>
  <mergeCells count="15">
    <mergeCell ref="A1:F1"/>
    <mergeCell ref="A2:F2"/>
    <mergeCell ref="A4:A13"/>
    <mergeCell ref="A14:A24"/>
    <mergeCell ref="A25:A28"/>
    <mergeCell ref="A29:A33"/>
    <mergeCell ref="A34:A38"/>
    <mergeCell ref="A41:A42"/>
    <mergeCell ref="A43:A45"/>
    <mergeCell ref="B6:B13"/>
    <mergeCell ref="B15:B20"/>
    <mergeCell ref="B27:B28"/>
    <mergeCell ref="B30:B33"/>
    <mergeCell ref="B35:B38"/>
    <mergeCell ref="D6:D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zoomScale="115" zoomScaleNormal="115" workbookViewId="0">
      <pane ySplit="3" topLeftCell="A5" activePane="bottomLeft" state="frozen"/>
      <selection/>
      <selection pane="bottomLeft" activeCell="C23" sqref="C23"/>
    </sheetView>
  </sheetViews>
  <sheetFormatPr defaultColWidth="8" defaultRowHeight="16.5" outlineLevelCol="2"/>
  <cols>
    <col min="1" max="1" width="5.22222222222222" style="51" customWidth="1"/>
    <col min="2" max="2" width="35.2222222222222" style="2" customWidth="1"/>
    <col min="3" max="3" width="46.3333333333333" style="2" customWidth="1"/>
    <col min="4" max="16384" width="8" style="51"/>
  </cols>
  <sheetData>
    <row r="1" ht="22.5" spans="1:3">
      <c r="A1" s="167" t="s">
        <v>104</v>
      </c>
      <c r="B1" s="167"/>
      <c r="C1" s="167"/>
    </row>
    <row r="2" spans="1:3">
      <c r="A2" s="2" t="s">
        <v>105</v>
      </c>
    </row>
    <row r="3" s="51" customFormat="1" spans="1:3">
      <c r="A3" s="51" t="s">
        <v>106</v>
      </c>
      <c r="B3" s="51" t="s">
        <v>8</v>
      </c>
      <c r="C3" s="51" t="s">
        <v>107</v>
      </c>
    </row>
    <row r="4" s="51" customFormat="1" spans="1:3">
      <c r="B4" s="54" t="s">
        <v>108</v>
      </c>
      <c r="C4" s="54"/>
    </row>
    <row r="5" s="51" customFormat="1" spans="1:3">
      <c r="A5" s="51">
        <v>0.3</v>
      </c>
      <c r="B5" s="2" t="s">
        <v>109</v>
      </c>
      <c r="C5" s="2" t="s">
        <v>110</v>
      </c>
    </row>
    <row r="6" s="51" customFormat="1" spans="1:3">
      <c r="A6" s="51">
        <v>0.3</v>
      </c>
      <c r="B6" s="2" t="s">
        <v>111</v>
      </c>
      <c r="C6" s="2" t="s">
        <v>112</v>
      </c>
    </row>
    <row r="7" s="51" customFormat="1" spans="1:3">
      <c r="A7" s="51">
        <v>0.25</v>
      </c>
      <c r="B7" s="2" t="s">
        <v>113</v>
      </c>
      <c r="C7" s="2" t="s">
        <v>114</v>
      </c>
    </row>
    <row r="8" s="51" customFormat="1" spans="1:3">
      <c r="A8" s="51">
        <v>0.25</v>
      </c>
      <c r="B8" s="2" t="s">
        <v>115</v>
      </c>
      <c r="C8" s="2" t="s">
        <v>116</v>
      </c>
    </row>
    <row r="9" s="51" customFormat="1" spans="1:3">
      <c r="A9" s="51">
        <v>0.25</v>
      </c>
      <c r="B9" s="2" t="s">
        <v>117</v>
      </c>
      <c r="C9" s="2"/>
    </row>
    <row r="10" s="51" customFormat="1" spans="1:3">
      <c r="A10" s="51">
        <v>0.24</v>
      </c>
      <c r="B10" s="2" t="s">
        <v>118</v>
      </c>
      <c r="C10" s="2" t="s">
        <v>119</v>
      </c>
    </row>
    <row r="11" s="51" customFormat="1" spans="1:3">
      <c r="A11" s="51">
        <v>0.24</v>
      </c>
      <c r="B11" s="2" t="s">
        <v>120</v>
      </c>
      <c r="C11" s="2" t="s">
        <v>121</v>
      </c>
    </row>
    <row r="12" s="51" customFormat="1" spans="1:3">
      <c r="A12" s="51">
        <v>0.2</v>
      </c>
      <c r="B12" s="59" t="s">
        <v>122</v>
      </c>
      <c r="C12" s="2"/>
    </row>
    <row r="13" s="51" customFormat="1" spans="1:3">
      <c r="A13" s="51">
        <v>0.2</v>
      </c>
      <c r="B13" s="2" t="s">
        <v>123</v>
      </c>
      <c r="C13" s="2" t="s">
        <v>124</v>
      </c>
    </row>
    <row r="14" s="51" customFormat="1" spans="1:3">
      <c r="A14" s="51">
        <v>0.2</v>
      </c>
      <c r="B14" s="2" t="s">
        <v>125</v>
      </c>
      <c r="C14" s="2" t="s">
        <v>126</v>
      </c>
    </row>
    <row r="15" s="51" customFormat="1" spans="1:3">
      <c r="A15" s="51">
        <v>0.2</v>
      </c>
      <c r="B15" s="2" t="s">
        <v>127</v>
      </c>
      <c r="C15" s="2" t="s">
        <v>128</v>
      </c>
    </row>
    <row r="16" s="51" customFormat="1" spans="1:3">
      <c r="A16" s="51">
        <v>0.15</v>
      </c>
      <c r="B16" s="2" t="s">
        <v>129</v>
      </c>
      <c r="C16" s="2"/>
    </row>
    <row r="17" s="51" customFormat="1" spans="1:3">
      <c r="A17" s="51">
        <v>0.15</v>
      </c>
      <c r="B17" s="2" t="s">
        <v>130</v>
      </c>
      <c r="C17" s="2" t="s">
        <v>131</v>
      </c>
    </row>
    <row r="18" s="51" customFormat="1" spans="1:3">
      <c r="A18" s="51">
        <v>0.15</v>
      </c>
      <c r="B18" s="2" t="s">
        <v>132</v>
      </c>
      <c r="C18" s="2" t="s">
        <v>133</v>
      </c>
    </row>
    <row r="19" s="51" customFormat="1" spans="1:3">
      <c r="A19" s="51">
        <v>0.15</v>
      </c>
      <c r="B19" s="2" t="s">
        <v>134</v>
      </c>
      <c r="C19" s="2" t="s">
        <v>135</v>
      </c>
    </row>
    <row r="20" s="51" customFormat="1" spans="1:3">
      <c r="A20" s="51">
        <v>0.1</v>
      </c>
      <c r="B20" s="2" t="s">
        <v>136</v>
      </c>
      <c r="C20" s="2"/>
    </row>
    <row r="22" customFormat="1" spans="1:3">
      <c r="A22" s="51"/>
      <c r="B22" s="54" t="s">
        <v>137</v>
      </c>
      <c r="C22" s="2"/>
    </row>
    <row r="23" s="51" customFormat="1" spans="1:3">
      <c r="A23" s="51">
        <v>0.75</v>
      </c>
      <c r="B23" s="2" t="s">
        <v>138</v>
      </c>
      <c r="C23" s="2"/>
    </row>
    <row r="24" s="51" customFormat="1" spans="1:3">
      <c r="A24" s="51">
        <v>0.7</v>
      </c>
      <c r="B24" s="2" t="s">
        <v>139</v>
      </c>
      <c r="C24" s="2"/>
    </row>
    <row r="25" s="51" customFormat="1" spans="1:3">
      <c r="A25" s="51">
        <v>0.65</v>
      </c>
      <c r="B25" s="2" t="s">
        <v>140</v>
      </c>
      <c r="C25" s="2"/>
    </row>
    <row r="26" s="51" customFormat="1" spans="1:3">
      <c r="A26" s="51">
        <v>0.65</v>
      </c>
      <c r="B26" s="2" t="s">
        <v>141</v>
      </c>
      <c r="C26" s="2"/>
    </row>
    <row r="27" s="51" customFormat="1" spans="1:3">
      <c r="A27" s="51">
        <v>0.55</v>
      </c>
      <c r="B27" s="2" t="s">
        <v>142</v>
      </c>
      <c r="C27" s="2"/>
    </row>
    <row r="28" s="51" customFormat="1" spans="1:3">
      <c r="A28" s="51">
        <v>0.55</v>
      </c>
      <c r="B28" s="2" t="s">
        <v>143</v>
      </c>
      <c r="C28" s="2" t="s">
        <v>144</v>
      </c>
    </row>
    <row r="29" s="51" customFormat="1" spans="1:3">
      <c r="A29" s="51">
        <v>0.55</v>
      </c>
      <c r="B29" s="2" t="s">
        <v>145</v>
      </c>
      <c r="C29" s="2" t="s">
        <v>146</v>
      </c>
    </row>
    <row r="30" s="51" customFormat="1" spans="1:3">
      <c r="A30" s="51">
        <v>0.55</v>
      </c>
      <c r="B30" s="2" t="s">
        <v>147</v>
      </c>
      <c r="C30" s="2" t="s">
        <v>148</v>
      </c>
    </row>
    <row r="31" s="51" customFormat="1" spans="1:3">
      <c r="A31" s="51">
        <v>0.55</v>
      </c>
      <c r="B31" s="2" t="s">
        <v>149</v>
      </c>
      <c r="C31" s="2" t="s">
        <v>150</v>
      </c>
    </row>
    <row r="32" s="51" customFormat="1" spans="1:3">
      <c r="A32" s="51">
        <v>0.55</v>
      </c>
      <c r="B32" s="2" t="s">
        <v>151</v>
      </c>
      <c r="C32" s="2" t="s">
        <v>152</v>
      </c>
    </row>
    <row r="33" s="51" customFormat="1" spans="1:3">
      <c r="A33" s="51">
        <v>0.55</v>
      </c>
      <c r="B33" s="2" t="s">
        <v>153</v>
      </c>
      <c r="C33" s="2" t="s">
        <v>154</v>
      </c>
    </row>
    <row r="34" s="51" customFormat="1" spans="1:3">
      <c r="A34" s="51">
        <v>0.5</v>
      </c>
      <c r="B34" s="2" t="s">
        <v>155</v>
      </c>
      <c r="C34" s="2"/>
    </row>
    <row r="35" s="51" customFormat="1" spans="1:3">
      <c r="A35" s="51">
        <v>0.4</v>
      </c>
      <c r="B35" s="2" t="s">
        <v>156</v>
      </c>
      <c r="C35" s="2"/>
    </row>
    <row r="36" s="51" customFormat="1" spans="1:3">
      <c r="A36" s="51">
        <v>0.35</v>
      </c>
      <c r="B36" s="2" t="s">
        <v>157</v>
      </c>
      <c r="C36" s="2"/>
    </row>
    <row r="37" s="51" customFormat="1" spans="1:3">
      <c r="A37" s="51">
        <v>0.3</v>
      </c>
      <c r="B37" s="2" t="s">
        <v>158</v>
      </c>
      <c r="C37" s="2"/>
    </row>
    <row r="38" s="51" customFormat="1" spans="1:3">
      <c r="A38" s="51">
        <v>0.25</v>
      </c>
      <c r="B38" s="2" t="s">
        <v>159</v>
      </c>
      <c r="C38" s="2"/>
    </row>
    <row r="39" s="51" customFormat="1" spans="1:3">
      <c r="A39" s="51">
        <v>0.2</v>
      </c>
      <c r="B39" s="2" t="s">
        <v>160</v>
      </c>
      <c r="C39" s="2"/>
    </row>
    <row r="40" spans="1:3">
      <c r="B40" s="54" t="s">
        <v>161</v>
      </c>
    </row>
    <row r="41" s="51" customFormat="1" ht="66" spans="1:3">
      <c r="A41" s="51">
        <v>0.8</v>
      </c>
      <c r="B41" s="2" t="s">
        <v>162</v>
      </c>
      <c r="C41" s="59" t="s">
        <v>163</v>
      </c>
    </row>
  </sheetData>
  <mergeCells count="2">
    <mergeCell ref="A1:C1"/>
    <mergeCell ref="A2:C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6"/>
  <sheetViews>
    <sheetView zoomScale="115" zoomScaleNormal="115" workbookViewId="0">
      <pane ySplit="1" topLeftCell="A61" activePane="bottomLeft" state="frozen"/>
      <selection/>
      <selection pane="bottomLeft" activeCell="D107" sqref="D107"/>
    </sheetView>
  </sheetViews>
  <sheetFormatPr defaultColWidth="7.31111111111111" defaultRowHeight="16.5" outlineLevelCol="3"/>
  <cols>
    <col min="1" max="1" width="13.6666666666667" style="2" customWidth="1"/>
    <col min="2" max="2" width="5.66666666666667" style="53" customWidth="1"/>
    <col min="3" max="3" width="17.2222222222222" style="57" customWidth="1"/>
    <col min="4" max="4" width="89.4444444444444" style="2" customWidth="1"/>
    <col min="5" max="16384" width="7.31111111111111" style="2"/>
  </cols>
  <sheetData>
    <row r="1" s="51" customFormat="1" spans="1:4">
      <c r="A1" s="51" t="s">
        <v>8</v>
      </c>
      <c r="B1" s="53" t="s">
        <v>7</v>
      </c>
      <c r="C1" s="53" t="s">
        <v>164</v>
      </c>
      <c r="D1" s="51" t="s">
        <v>165</v>
      </c>
    </row>
    <row r="2" s="51" customFormat="1" spans="1:4">
      <c r="A2" s="54" t="s">
        <v>166</v>
      </c>
      <c r="B2" s="53"/>
      <c r="C2" s="53"/>
    </row>
    <row r="3" s="2" customFormat="1" spans="1:4">
      <c r="A3" s="2" t="s">
        <v>167</v>
      </c>
      <c r="B3" s="53">
        <v>0.8</v>
      </c>
      <c r="C3" s="57"/>
    </row>
    <row r="4" s="2" customFormat="1" spans="1:4">
      <c r="A4" s="2" t="s">
        <v>168</v>
      </c>
      <c r="B4" s="53">
        <v>0.7</v>
      </c>
      <c r="C4" s="57"/>
    </row>
    <row r="5" s="2" customFormat="1" spans="1:4">
      <c r="A5" s="2" t="s">
        <v>169</v>
      </c>
      <c r="B5" s="53">
        <v>0.7</v>
      </c>
      <c r="C5" s="57"/>
    </row>
    <row r="6" s="2" customFormat="1" spans="1:4">
      <c r="A6" s="2" t="s">
        <v>170</v>
      </c>
      <c r="B6" s="53">
        <v>0.65</v>
      </c>
      <c r="C6" s="57"/>
      <c r="D6" s="2" t="s">
        <v>171</v>
      </c>
    </row>
    <row r="7" s="2" customFormat="1" spans="1:4">
      <c r="A7" s="2" t="s">
        <v>172</v>
      </c>
      <c r="B7" s="53">
        <v>0.65</v>
      </c>
      <c r="C7" s="57"/>
      <c r="D7" s="2" t="s">
        <v>173</v>
      </c>
    </row>
    <row r="8" s="2" customFormat="1" spans="1:4">
      <c r="A8" s="2" t="s">
        <v>174</v>
      </c>
      <c r="B8" s="53">
        <v>0.65</v>
      </c>
      <c r="C8" s="57"/>
    </row>
    <row r="9" s="2" customFormat="1" spans="1:4">
      <c r="A9" s="2" t="s">
        <v>175</v>
      </c>
      <c r="B9" s="53">
        <v>0.65</v>
      </c>
      <c r="C9" s="57"/>
    </row>
    <row r="10" s="2" customFormat="1" spans="1:4">
      <c r="A10" s="2" t="s">
        <v>176</v>
      </c>
      <c r="B10" s="53">
        <v>0.6</v>
      </c>
      <c r="C10" s="57" t="s">
        <v>177</v>
      </c>
      <c r="D10" s="2" t="s">
        <v>178</v>
      </c>
    </row>
    <row r="11" s="2" customFormat="1" spans="1:4">
      <c r="A11" s="2" t="s">
        <v>179</v>
      </c>
      <c r="B11" s="53">
        <v>0.6</v>
      </c>
      <c r="C11" s="57"/>
    </row>
    <row r="12" s="2" customFormat="1" spans="1:4">
      <c r="A12" s="2" t="s">
        <v>180</v>
      </c>
      <c r="B12" s="53">
        <v>0.6</v>
      </c>
      <c r="C12" s="57"/>
    </row>
    <row r="13" s="2" customFormat="1" spans="1:4">
      <c r="A13" s="2" t="s">
        <v>181</v>
      </c>
      <c r="B13" s="53">
        <v>0.6</v>
      </c>
      <c r="C13" s="57"/>
    </row>
    <row r="14" s="2" customFormat="1" spans="1:4">
      <c r="A14" s="2" t="s">
        <v>182</v>
      </c>
      <c r="B14" s="53">
        <v>0.5</v>
      </c>
      <c r="C14" s="57"/>
    </row>
    <row r="15" s="2" customFormat="1" spans="1:4">
      <c r="A15" s="2" t="s">
        <v>183</v>
      </c>
      <c r="B15" s="53">
        <v>0.5</v>
      </c>
      <c r="C15" s="57"/>
    </row>
    <row r="16" s="2" customFormat="1" spans="1:4">
      <c r="A16" s="2" t="s">
        <v>184</v>
      </c>
      <c r="B16" s="53">
        <v>0.5</v>
      </c>
      <c r="C16" s="57" t="s">
        <v>185</v>
      </c>
      <c r="D16" s="2" t="s">
        <v>186</v>
      </c>
    </row>
    <row r="17" s="2" customFormat="1" ht="33" spans="1:4">
      <c r="A17" s="2" t="s">
        <v>187</v>
      </c>
      <c r="B17" s="53">
        <v>0.5</v>
      </c>
      <c r="C17" s="57"/>
      <c r="D17" s="59" t="s">
        <v>188</v>
      </c>
    </row>
    <row r="18" s="2" customFormat="1" spans="1:4">
      <c r="A18" s="2" t="s">
        <v>189</v>
      </c>
      <c r="B18" s="53">
        <v>0.5</v>
      </c>
      <c r="C18" s="57"/>
      <c r="D18" s="57" t="s">
        <v>190</v>
      </c>
    </row>
    <row r="19" s="2" customFormat="1" spans="1:4">
      <c r="A19" s="2" t="s">
        <v>191</v>
      </c>
      <c r="B19" s="53">
        <v>0.5</v>
      </c>
      <c r="C19" s="57"/>
    </row>
    <row r="20" s="2" customFormat="1" spans="1:4">
      <c r="A20" s="2" t="s">
        <v>192</v>
      </c>
      <c r="B20" s="53">
        <v>0.5</v>
      </c>
      <c r="C20" s="57"/>
      <c r="D20" s="2" t="s">
        <v>178</v>
      </c>
    </row>
    <row r="21" s="2" customFormat="1" spans="1:4">
      <c r="A21" s="2" t="s">
        <v>193</v>
      </c>
      <c r="B21" s="53">
        <v>0.5</v>
      </c>
      <c r="C21" s="57"/>
    </row>
    <row r="22" s="2" customFormat="1" spans="1:4">
      <c r="A22" s="2" t="s">
        <v>194</v>
      </c>
      <c r="B22" s="53">
        <v>0.5</v>
      </c>
      <c r="C22" s="57"/>
    </row>
    <row r="23" s="2" customFormat="1" spans="1:4">
      <c r="A23" s="2" t="s">
        <v>195</v>
      </c>
      <c r="B23" s="53">
        <v>0.5</v>
      </c>
      <c r="C23" s="57"/>
    </row>
    <row r="24" s="2" customFormat="1" spans="1:4">
      <c r="A24" s="2" t="s">
        <v>196</v>
      </c>
      <c r="B24" s="53">
        <v>0.4</v>
      </c>
      <c r="C24" s="57"/>
    </row>
    <row r="25" s="2" customFormat="1" spans="1:4">
      <c r="A25" s="2" t="s">
        <v>197</v>
      </c>
      <c r="B25" s="53">
        <v>0.4</v>
      </c>
      <c r="C25" s="57"/>
    </row>
    <row r="27" s="2" customFormat="1" spans="1:4">
      <c r="A27" s="54" t="s">
        <v>198</v>
      </c>
      <c r="B27" s="53"/>
      <c r="C27" s="57"/>
    </row>
    <row r="28" s="2" customFormat="1" spans="1:4">
      <c r="A28" s="2" t="s">
        <v>199</v>
      </c>
      <c r="B28" s="53">
        <v>0.8</v>
      </c>
      <c r="C28" s="57"/>
    </row>
    <row r="29" s="2" customFormat="1" spans="1:4">
      <c r="A29" s="2" t="s">
        <v>200</v>
      </c>
      <c r="B29" s="53">
        <v>0.75</v>
      </c>
      <c r="C29" s="57"/>
      <c r="D29" s="2" t="s">
        <v>201</v>
      </c>
    </row>
    <row r="30" s="2" customFormat="1" spans="1:4">
      <c r="A30" s="2" t="s">
        <v>202</v>
      </c>
      <c r="B30" s="53">
        <v>0.75</v>
      </c>
      <c r="C30" s="57"/>
      <c r="D30" s="2" t="s">
        <v>201</v>
      </c>
    </row>
    <row r="31" s="2" customFormat="1" spans="1:4">
      <c r="A31" s="2" t="s">
        <v>203</v>
      </c>
      <c r="B31" s="53">
        <v>0.7</v>
      </c>
      <c r="C31" s="57"/>
    </row>
    <row r="32" s="2" customFormat="1" spans="1:4">
      <c r="A32" s="2" t="s">
        <v>204</v>
      </c>
      <c r="B32" s="53">
        <v>0.7</v>
      </c>
      <c r="C32" s="57"/>
      <c r="D32" s="2" t="s">
        <v>205</v>
      </c>
    </row>
    <row r="33" s="2" customFormat="1" spans="1:4">
      <c r="A33" s="2" t="s">
        <v>206</v>
      </c>
      <c r="B33" s="53">
        <v>0.7</v>
      </c>
      <c r="C33" s="57"/>
    </row>
    <row r="35" s="2" customFormat="1" spans="1:4">
      <c r="A35" s="54" t="s">
        <v>207</v>
      </c>
      <c r="B35" s="53"/>
      <c r="C35" s="57"/>
    </row>
    <row r="36" s="2" customFormat="1" spans="1:4">
      <c r="A36" s="2" t="s">
        <v>208</v>
      </c>
      <c r="B36" s="53">
        <v>1</v>
      </c>
      <c r="C36" s="57" t="s">
        <v>209</v>
      </c>
      <c r="D36" s="2" t="s">
        <v>210</v>
      </c>
    </row>
    <row r="37" s="2" customFormat="1" spans="1:4">
      <c r="A37" s="2" t="s">
        <v>211</v>
      </c>
      <c r="B37" s="53">
        <v>1</v>
      </c>
      <c r="C37" s="57" t="s">
        <v>212</v>
      </c>
    </row>
    <row r="38" s="2" customFormat="1" spans="1:4">
      <c r="A38" s="2" t="s">
        <v>213</v>
      </c>
      <c r="B38" s="53">
        <v>1</v>
      </c>
      <c r="C38" s="57" t="s">
        <v>214</v>
      </c>
    </row>
    <row r="39" s="2" customFormat="1" spans="1:4">
      <c r="A39" s="2" t="s">
        <v>215</v>
      </c>
      <c r="B39" s="53">
        <v>1</v>
      </c>
      <c r="C39" s="57"/>
      <c r="D39" s="2" t="s">
        <v>216</v>
      </c>
    </row>
    <row r="40" s="2" customFormat="1" spans="1:4">
      <c r="A40" s="2" t="s">
        <v>217</v>
      </c>
      <c r="B40" s="53">
        <v>0.9</v>
      </c>
      <c r="C40" s="57" t="s">
        <v>218</v>
      </c>
    </row>
    <row r="41" s="2" customFormat="1" spans="1:4">
      <c r="A41" s="2" t="s">
        <v>219</v>
      </c>
      <c r="B41" s="53">
        <v>0.8</v>
      </c>
      <c r="C41" s="57"/>
      <c r="D41" s="2" t="s">
        <v>178</v>
      </c>
    </row>
    <row r="42" s="2" customFormat="1" spans="1:4">
      <c r="A42" s="2" t="s">
        <v>220</v>
      </c>
      <c r="B42" s="53">
        <v>0.8</v>
      </c>
      <c r="C42" s="57"/>
      <c r="D42" s="2" t="s">
        <v>221</v>
      </c>
    </row>
    <row r="43" s="2" customFormat="1" spans="1:4">
      <c r="A43" s="2" t="s">
        <v>222</v>
      </c>
      <c r="B43" s="53">
        <v>0.8</v>
      </c>
      <c r="C43" s="57"/>
      <c r="D43" s="2" t="s">
        <v>223</v>
      </c>
    </row>
    <row r="44" s="2" customFormat="1" spans="1:4">
      <c r="A44" s="2" t="s">
        <v>224</v>
      </c>
      <c r="B44" s="53">
        <v>0.8</v>
      </c>
      <c r="C44" s="57"/>
      <c r="D44" s="2" t="s">
        <v>225</v>
      </c>
    </row>
    <row r="45" s="2" customFormat="1" spans="1:4">
      <c r="A45" s="2" t="s">
        <v>226</v>
      </c>
      <c r="B45" s="53">
        <v>0.8</v>
      </c>
      <c r="C45" s="57"/>
      <c r="D45" s="2" t="s">
        <v>227</v>
      </c>
    </row>
    <row r="46" s="2" customFormat="1" spans="1:4">
      <c r="A46" s="2" t="s">
        <v>228</v>
      </c>
      <c r="B46" s="53">
        <v>0.8</v>
      </c>
      <c r="C46" s="57"/>
    </row>
    <row r="47" s="2" customFormat="1" spans="1:4">
      <c r="A47" s="2" t="s">
        <v>229</v>
      </c>
      <c r="B47" s="53">
        <v>0.8</v>
      </c>
      <c r="C47" s="57"/>
    </row>
    <row r="48" s="2" customFormat="1" spans="1:4">
      <c r="A48" s="2" t="s">
        <v>230</v>
      </c>
      <c r="B48" s="53">
        <v>0.8</v>
      </c>
      <c r="C48" s="57"/>
    </row>
    <row r="49" s="2" customFormat="1" spans="1:4">
      <c r="A49" s="2" t="s">
        <v>231</v>
      </c>
      <c r="B49" s="53">
        <v>0.8</v>
      </c>
      <c r="C49" s="57"/>
    </row>
    <row r="50" s="2" customFormat="1" spans="1:4">
      <c r="A50" s="2" t="s">
        <v>232</v>
      </c>
      <c r="B50" s="53">
        <v>0.8</v>
      </c>
      <c r="C50" s="57"/>
    </row>
    <row r="51" s="2" customFormat="1" spans="1:4">
      <c r="A51" s="2" t="s">
        <v>233</v>
      </c>
      <c r="B51" s="53">
        <v>0.8</v>
      </c>
      <c r="C51" s="57"/>
    </row>
    <row r="52" s="2" customFormat="1" spans="1:4">
      <c r="A52" s="2" t="s">
        <v>234</v>
      </c>
      <c r="B52" s="53">
        <v>0.75</v>
      </c>
      <c r="C52" s="57"/>
    </row>
    <row r="53" s="2" customFormat="1" spans="1:4">
      <c r="A53" s="2" t="s">
        <v>235</v>
      </c>
      <c r="B53" s="53">
        <v>0.75</v>
      </c>
      <c r="C53" s="57"/>
    </row>
    <row r="54" s="2" customFormat="1" spans="1:4">
      <c r="A54" s="2" t="s">
        <v>236</v>
      </c>
      <c r="B54" s="53">
        <v>0.75</v>
      </c>
      <c r="C54" s="57"/>
      <c r="D54" s="2" t="s">
        <v>171</v>
      </c>
    </row>
    <row r="55" s="2" customFormat="1" spans="1:4">
      <c r="A55" s="2" t="s">
        <v>237</v>
      </c>
      <c r="B55" s="53">
        <v>0.75</v>
      </c>
      <c r="C55" s="57"/>
    </row>
    <row r="56" s="2" customFormat="1" spans="1:4">
      <c r="A56" s="2" t="s">
        <v>238</v>
      </c>
      <c r="B56" s="53">
        <v>0.75</v>
      </c>
      <c r="C56" s="57"/>
    </row>
    <row r="57" s="2" customFormat="1" spans="1:4">
      <c r="A57" s="2" t="s">
        <v>239</v>
      </c>
      <c r="B57" s="53">
        <v>0.75</v>
      </c>
      <c r="C57" s="57"/>
    </row>
    <row r="58" s="2" customFormat="1" spans="1:4">
      <c r="A58" s="2" t="s">
        <v>240</v>
      </c>
      <c r="B58" s="53">
        <v>0.75</v>
      </c>
      <c r="C58" s="57"/>
    </row>
    <row r="59" s="2" customFormat="1" spans="1:4">
      <c r="A59" s="2" t="s">
        <v>241</v>
      </c>
      <c r="B59" s="53">
        <v>0.75</v>
      </c>
      <c r="C59" s="57"/>
      <c r="D59" s="2" t="s">
        <v>171</v>
      </c>
    </row>
    <row r="60" s="2" customFormat="1" spans="1:4">
      <c r="A60" s="2" t="s">
        <v>242</v>
      </c>
      <c r="B60" s="53">
        <v>0.75</v>
      </c>
      <c r="C60" s="57"/>
      <c r="D60" s="2" t="s">
        <v>243</v>
      </c>
    </row>
    <row r="61" s="2" customFormat="1" spans="1:4">
      <c r="A61" s="2" t="s">
        <v>244</v>
      </c>
      <c r="B61" s="53">
        <v>0.75</v>
      </c>
      <c r="C61" s="57"/>
    </row>
    <row r="62" s="2" customFormat="1" spans="1:4">
      <c r="A62" s="2" t="s">
        <v>245</v>
      </c>
      <c r="B62" s="53">
        <v>0.75</v>
      </c>
      <c r="C62" s="57"/>
    </row>
    <row r="63" s="2" customFormat="1" spans="1:4">
      <c r="A63" s="2" t="s">
        <v>246</v>
      </c>
      <c r="B63" s="53">
        <v>0.75</v>
      </c>
      <c r="C63" s="57"/>
    </row>
    <row r="64" s="2" customFormat="1" spans="1:4">
      <c r="A64" s="2" t="s">
        <v>247</v>
      </c>
      <c r="B64" s="53">
        <v>0.75</v>
      </c>
      <c r="C64" s="57"/>
    </row>
    <row r="65" s="2" customFormat="1" spans="1:4">
      <c r="A65" s="2" t="s">
        <v>248</v>
      </c>
      <c r="B65" s="53">
        <v>0.75</v>
      </c>
      <c r="C65" s="57"/>
    </row>
    <row r="66" s="2" customFormat="1" spans="1:4">
      <c r="A66" s="2" t="s">
        <v>249</v>
      </c>
      <c r="B66" s="53">
        <v>0.75</v>
      </c>
      <c r="C66" s="57"/>
    </row>
    <row r="67" s="2" customFormat="1" spans="1:4">
      <c r="A67" s="2" t="s">
        <v>250</v>
      </c>
      <c r="B67" s="53">
        <v>0.7</v>
      </c>
      <c r="C67" s="57"/>
    </row>
    <row r="68" s="2" customFormat="1" spans="1:4">
      <c r="A68" s="2" t="s">
        <v>251</v>
      </c>
      <c r="B68" s="53">
        <v>0.7</v>
      </c>
      <c r="C68" s="57"/>
      <c r="D68" s="2" t="s">
        <v>252</v>
      </c>
    </row>
    <row r="69" s="2" customFormat="1" spans="1:4">
      <c r="A69" s="2" t="s">
        <v>253</v>
      </c>
      <c r="B69" s="53">
        <v>0.7</v>
      </c>
      <c r="C69" s="57"/>
    </row>
    <row r="70" s="2" customFormat="1" spans="1:4">
      <c r="A70" s="2" t="s">
        <v>254</v>
      </c>
      <c r="B70" s="53">
        <v>0.65</v>
      </c>
      <c r="C70" s="57"/>
      <c r="D70" s="2" t="s">
        <v>255</v>
      </c>
    </row>
    <row r="71" s="2" customFormat="1" spans="1:4">
      <c r="A71" s="2" t="s">
        <v>256</v>
      </c>
      <c r="B71" s="53">
        <v>0.6</v>
      </c>
      <c r="C71" s="57"/>
      <c r="D71" s="2" t="s">
        <v>257</v>
      </c>
    </row>
    <row r="72" s="2" customFormat="1" spans="1:4">
      <c r="A72" s="2" t="s">
        <v>258</v>
      </c>
      <c r="B72" s="53">
        <v>0.4</v>
      </c>
      <c r="C72" s="57"/>
      <c r="D72" s="2" t="s">
        <v>259</v>
      </c>
    </row>
    <row r="73" s="2" customFormat="1" spans="1:4">
      <c r="A73" s="2" t="s">
        <v>260</v>
      </c>
      <c r="B73" s="53">
        <v>0</v>
      </c>
      <c r="C73" s="57"/>
      <c r="D73" s="2" t="s">
        <v>261</v>
      </c>
    </row>
    <row r="75" customFormat="1" spans="1:4">
      <c r="A75" s="54" t="s">
        <v>262</v>
      </c>
      <c r="B75" s="53"/>
      <c r="C75" s="57"/>
    </row>
    <row r="76" s="2" customFormat="1" spans="1:4">
      <c r="A76" s="2" t="s">
        <v>263</v>
      </c>
      <c r="B76" s="53">
        <v>0.9</v>
      </c>
      <c r="C76" s="57" t="s">
        <v>264</v>
      </c>
    </row>
    <row r="77" s="2" customFormat="1" spans="1:4">
      <c r="A77" s="2" t="s">
        <v>265</v>
      </c>
      <c r="B77" s="53">
        <v>0.9</v>
      </c>
      <c r="C77" s="57" t="s">
        <v>266</v>
      </c>
      <c r="D77" s="2" t="s">
        <v>267</v>
      </c>
    </row>
    <row r="78" s="2" customFormat="1" spans="1:4">
      <c r="A78" s="2" t="s">
        <v>268</v>
      </c>
      <c r="B78" s="53">
        <v>0.8</v>
      </c>
      <c r="C78" s="57" t="s">
        <v>269</v>
      </c>
      <c r="D78" s="2" t="s">
        <v>270</v>
      </c>
    </row>
    <row r="79" s="2" customFormat="1" spans="1:4">
      <c r="A79" s="2" t="s">
        <v>271</v>
      </c>
      <c r="B79" s="53">
        <v>0.8</v>
      </c>
      <c r="C79" s="57" t="s">
        <v>272</v>
      </c>
      <c r="D79" s="2" t="s">
        <v>252</v>
      </c>
    </row>
    <row r="80" s="2" customFormat="1" spans="1:4">
      <c r="A80" s="2" t="s">
        <v>273</v>
      </c>
      <c r="B80" s="53">
        <v>1</v>
      </c>
      <c r="C80" s="57" t="s">
        <v>274</v>
      </c>
      <c r="D80" s="2" t="s">
        <v>275</v>
      </c>
    </row>
    <row r="81" s="2" customFormat="1" spans="1:4">
      <c r="A81" s="2" t="s">
        <v>276</v>
      </c>
      <c r="B81" s="53">
        <v>0.9</v>
      </c>
      <c r="C81" s="57" t="s">
        <v>277</v>
      </c>
      <c r="D81" s="2" t="s">
        <v>278</v>
      </c>
    </row>
    <row r="82" s="2" customFormat="1" spans="1:4">
      <c r="A82" s="2" t="s">
        <v>279</v>
      </c>
      <c r="B82" s="53">
        <v>0.9</v>
      </c>
      <c r="C82" s="57" t="s">
        <v>264</v>
      </c>
      <c r="D82" s="2" t="s">
        <v>280</v>
      </c>
    </row>
    <row r="83" s="2" customFormat="1" spans="1:4">
      <c r="A83" s="2" t="s">
        <v>281</v>
      </c>
      <c r="B83" s="53">
        <v>0.9</v>
      </c>
      <c r="C83" s="57" t="s">
        <v>282</v>
      </c>
      <c r="D83" s="2" t="s">
        <v>278</v>
      </c>
    </row>
    <row r="84" s="2" customFormat="1" spans="1:4">
      <c r="A84" s="2" t="s">
        <v>283</v>
      </c>
      <c r="B84" s="53">
        <v>0.9</v>
      </c>
      <c r="C84" s="57" t="s">
        <v>284</v>
      </c>
      <c r="D84" s="2" t="s">
        <v>278</v>
      </c>
    </row>
    <row r="86" s="2" customFormat="1" spans="1:4">
      <c r="A86" s="54" t="s">
        <v>285</v>
      </c>
      <c r="B86" s="53"/>
      <c r="C86" s="57"/>
    </row>
    <row r="87" s="2" customFormat="1" spans="1:4">
      <c r="A87" s="2" t="s">
        <v>286</v>
      </c>
      <c r="B87" s="53">
        <v>0.8</v>
      </c>
      <c r="C87" s="57"/>
    </row>
    <row r="88" s="2" customFormat="1" spans="1:4">
      <c r="A88" s="2" t="s">
        <v>287</v>
      </c>
      <c r="B88" s="53">
        <v>0.8</v>
      </c>
      <c r="C88" s="57"/>
    </row>
    <row r="89" s="2" customFormat="1" spans="1:4">
      <c r="A89" s="2" t="s">
        <v>288</v>
      </c>
      <c r="B89" s="53">
        <v>0.8</v>
      </c>
      <c r="C89" s="57"/>
    </row>
    <row r="90" s="2" customFormat="1" spans="1:4">
      <c r="A90" s="2" t="s">
        <v>289</v>
      </c>
      <c r="B90" s="53">
        <v>0.8</v>
      </c>
      <c r="C90" s="57"/>
    </row>
    <row r="91" s="2" customFormat="1" spans="1:4">
      <c r="A91" s="2" t="s">
        <v>290</v>
      </c>
      <c r="B91" s="53">
        <v>0.75</v>
      </c>
      <c r="C91" s="57"/>
      <c r="D91" s="2" t="s">
        <v>252</v>
      </c>
    </row>
    <row r="92" s="2" customFormat="1" spans="1:4">
      <c r="A92" s="2" t="s">
        <v>291</v>
      </c>
      <c r="B92" s="53">
        <v>0.75</v>
      </c>
      <c r="C92" s="57"/>
    </row>
    <row r="93" s="2" customFormat="1" spans="1:4">
      <c r="A93" s="2" t="s">
        <v>292</v>
      </c>
      <c r="B93" s="53">
        <v>0.75</v>
      </c>
      <c r="C93" s="57"/>
      <c r="D93" s="2" t="s">
        <v>252</v>
      </c>
    </row>
    <row r="94" s="2" customFormat="1" spans="1:4">
      <c r="A94" s="2" t="s">
        <v>293</v>
      </c>
      <c r="B94" s="53">
        <v>0.7</v>
      </c>
      <c r="C94" s="57"/>
    </row>
    <row r="95" s="2" customFormat="1" spans="1:4">
      <c r="A95" s="2" t="s">
        <v>294</v>
      </c>
      <c r="B95" s="53">
        <v>0.7</v>
      </c>
      <c r="C95" s="57"/>
    </row>
    <row r="96" s="2" customFormat="1" spans="1:4">
      <c r="A96" s="2" t="s">
        <v>295</v>
      </c>
      <c r="B96" s="53">
        <v>0.7</v>
      </c>
      <c r="C96" s="57"/>
    </row>
    <row r="98" s="2" customFormat="1" spans="1:4">
      <c r="A98" s="55" t="s">
        <v>296</v>
      </c>
      <c r="B98" s="53"/>
      <c r="C98" s="57"/>
    </row>
    <row r="99" s="2" customFormat="1" spans="1:4">
      <c r="A99" s="2" t="s">
        <v>297</v>
      </c>
      <c r="B99" s="53">
        <v>0.8</v>
      </c>
      <c r="C99" s="57"/>
    </row>
    <row r="100" s="2" customFormat="1" spans="1:4">
      <c r="A100" s="2" t="s">
        <v>298</v>
      </c>
      <c r="B100" s="53">
        <v>0.7</v>
      </c>
      <c r="C100" s="57"/>
    </row>
    <row r="101" s="2" customFormat="1" spans="1:4">
      <c r="A101" s="2" t="s">
        <v>299</v>
      </c>
      <c r="B101" s="53">
        <v>0.7</v>
      </c>
      <c r="C101" s="57"/>
      <c r="D101" s="2" t="s">
        <v>205</v>
      </c>
    </row>
    <row r="102" s="2" customFormat="1" spans="1:4">
      <c r="A102" s="2" t="s">
        <v>300</v>
      </c>
      <c r="B102" s="53">
        <v>0.7</v>
      </c>
      <c r="C102" s="57"/>
    </row>
    <row r="103" s="2" customFormat="1" spans="1:4">
      <c r="A103" s="2" t="s">
        <v>301</v>
      </c>
      <c r="B103" s="53">
        <v>0.7</v>
      </c>
      <c r="C103" s="57"/>
    </row>
    <row r="105" customFormat="1" spans="1:4">
      <c r="A105" s="54" t="s">
        <v>302</v>
      </c>
      <c r="B105" s="53"/>
      <c r="C105" s="57"/>
    </row>
    <row r="106" s="2" customFormat="1" spans="1:4">
      <c r="A106" s="2" t="s">
        <v>303</v>
      </c>
      <c r="B106" s="53"/>
      <c r="C106" s="57"/>
      <c r="D106" s="2" t="s">
        <v>304</v>
      </c>
    </row>
  </sheetData>
  <pageMargins left="0.75" right="0.75" top="1" bottom="1" header="0.5" footer="0.5"/>
  <headerFooter/>
  <drawing r:id="rId1"/>
  <legacyDrawing r:id="rId2"/>
  <controls>
    <mc:AlternateContent xmlns:mc="http://schemas.openxmlformats.org/markup-compatibility/2006">
      <mc:Choice Requires="x14">
        <control shapeId="1025" r:id="rId3">
          <controlPr defaultSize="0">
            <anchor moveWithCells="1">
              <from>
                <xdr:col>0</xdr:col>
                <xdr:colOff>0</xdr:colOff>
                <xdr:row>0</xdr:row>
                <xdr:rowOff>0</xdr:rowOff>
              </from>
              <to>
                <xdr:col>0</xdr:col>
                <xdr:colOff>0</xdr:colOff>
                <xdr:row>1</xdr:row>
                <xdr:rowOff>0</xdr:rowOff>
              </to>
            </anchor>
          </controlPr>
        </control>
      </mc:Choice>
      <mc:Fallback>
        <control shapeId="1025" r:id="rId3"/>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workbookViewId="0">
      <pane ySplit="2" topLeftCell="A3" activePane="bottomLeft" state="frozen"/>
      <selection/>
      <selection pane="bottomLeft" activeCell="H13" sqref="H13"/>
    </sheetView>
  </sheetViews>
  <sheetFormatPr defaultColWidth="8.88888888888889" defaultRowHeight="16.5" outlineLevelCol="3"/>
  <cols>
    <col min="1" max="1" width="9.33333333333333" style="159" customWidth="1"/>
    <col min="2" max="2" width="19.3333333333333" style="160" customWidth="1"/>
    <col min="3" max="3" width="31.5555555555556" style="160" customWidth="1"/>
    <col min="4" max="4" width="8.55555555555556" style="160" customWidth="1"/>
    <col min="5" max="16384" width="8.88888888888889" style="160"/>
  </cols>
  <sheetData>
    <row r="1" ht="22.5" spans="1:4">
      <c r="A1" s="74" t="s">
        <v>305</v>
      </c>
      <c r="B1" s="75"/>
      <c r="C1" s="75"/>
      <c r="D1" s="76"/>
    </row>
    <row r="2" spans="1:4">
      <c r="A2" s="77" t="s">
        <v>7</v>
      </c>
      <c r="B2" s="22" t="s">
        <v>8</v>
      </c>
      <c r="C2" s="22" t="s">
        <v>164</v>
      </c>
      <c r="D2" s="79" t="s">
        <v>306</v>
      </c>
    </row>
    <row r="3" spans="1:4">
      <c r="A3" s="161">
        <v>0.25</v>
      </c>
      <c r="B3" s="71" t="s">
        <v>307</v>
      </c>
      <c r="C3" s="71" t="s">
        <v>308</v>
      </c>
      <c r="D3" s="100">
        <v>4613.5</v>
      </c>
    </row>
    <row r="4" spans="1:4">
      <c r="A4" s="162">
        <v>0.23</v>
      </c>
      <c r="B4" s="143" t="s">
        <v>309</v>
      </c>
      <c r="C4" s="143" t="s">
        <v>310</v>
      </c>
      <c r="D4" s="94"/>
    </row>
    <row r="5" spans="1:4">
      <c r="A5" s="161">
        <v>0.2</v>
      </c>
      <c r="B5" s="71" t="s">
        <v>72</v>
      </c>
      <c r="C5" s="71"/>
      <c r="D5" s="100">
        <v>0</v>
      </c>
    </row>
    <row r="6" spans="1:4">
      <c r="A6" s="161"/>
      <c r="B6" s="71" t="s">
        <v>311</v>
      </c>
      <c r="C6" s="71"/>
      <c r="D6" s="100">
        <v>2797.7</v>
      </c>
    </row>
    <row r="7" spans="1:4">
      <c r="A7" s="161"/>
      <c r="B7" s="71" t="s">
        <v>312</v>
      </c>
      <c r="C7" s="71"/>
      <c r="D7" s="100">
        <v>2976.3</v>
      </c>
    </row>
    <row r="8" spans="1:4">
      <c r="A8" s="161"/>
      <c r="B8" s="71" t="s">
        <v>313</v>
      </c>
      <c r="C8" s="71" t="s">
        <v>314</v>
      </c>
      <c r="D8" s="100">
        <v>3387.2</v>
      </c>
    </row>
    <row r="9" spans="1:4">
      <c r="A9" s="161"/>
      <c r="B9" s="71" t="s">
        <v>315</v>
      </c>
      <c r="C9" s="71"/>
      <c r="D9" s="100">
        <v>3404.7</v>
      </c>
    </row>
    <row r="10" spans="1:4">
      <c r="A10" s="161"/>
      <c r="B10" s="71" t="s">
        <v>316</v>
      </c>
      <c r="C10" s="71"/>
      <c r="D10" s="100">
        <v>3420.9</v>
      </c>
    </row>
    <row r="11" spans="1:4">
      <c r="A11" s="161"/>
      <c r="B11" s="21" t="s">
        <v>317</v>
      </c>
      <c r="C11" s="21"/>
      <c r="D11" s="100">
        <v>3669.1</v>
      </c>
    </row>
    <row r="12" spans="1:4">
      <c r="A12" s="161"/>
      <c r="B12" s="71" t="s">
        <v>318</v>
      </c>
      <c r="C12" s="71"/>
      <c r="D12" s="100">
        <v>4419</v>
      </c>
    </row>
    <row r="13" spans="1:4">
      <c r="A13" s="162"/>
      <c r="B13" s="143" t="s">
        <v>319</v>
      </c>
      <c r="C13" s="143"/>
      <c r="D13" s="94">
        <v>5194.9</v>
      </c>
    </row>
    <row r="14" spans="1:4">
      <c r="A14" s="162">
        <v>0.2</v>
      </c>
      <c r="B14" s="93" t="s">
        <v>320</v>
      </c>
      <c r="C14" s="163" t="s">
        <v>321</v>
      </c>
      <c r="D14" s="94">
        <v>3453.7</v>
      </c>
    </row>
    <row r="15" spans="1:4">
      <c r="A15" s="161">
        <v>0.15</v>
      </c>
      <c r="B15" s="71" t="s">
        <v>73</v>
      </c>
      <c r="C15" s="71"/>
      <c r="D15" s="100">
        <v>0</v>
      </c>
    </row>
    <row r="16" spans="1:4">
      <c r="A16" s="161"/>
      <c r="B16" s="71" t="s">
        <v>322</v>
      </c>
      <c r="C16" s="71"/>
      <c r="D16" s="100">
        <v>0</v>
      </c>
    </row>
    <row r="17" spans="1:4">
      <c r="A17" s="161"/>
      <c r="B17" s="21" t="s">
        <v>323</v>
      </c>
      <c r="C17" s="21" t="s">
        <v>324</v>
      </c>
      <c r="D17" s="100">
        <v>44.1</v>
      </c>
    </row>
    <row r="18" spans="1:4">
      <c r="A18" s="161"/>
      <c r="B18" s="71" t="s">
        <v>325</v>
      </c>
      <c r="C18" s="71" t="s">
        <v>326</v>
      </c>
      <c r="D18" s="100">
        <v>44.1</v>
      </c>
    </row>
    <row r="19" spans="1:4">
      <c r="A19" s="161"/>
      <c r="B19" s="71" t="s">
        <v>327</v>
      </c>
      <c r="C19" s="71" t="s">
        <v>328</v>
      </c>
      <c r="D19" s="100">
        <v>44.1</v>
      </c>
    </row>
    <row r="20" spans="1:4">
      <c r="A20" s="161"/>
      <c r="B20" s="21" t="s">
        <v>329</v>
      </c>
      <c r="C20" s="21" t="s">
        <v>330</v>
      </c>
      <c r="D20" s="100">
        <v>44.1</v>
      </c>
    </row>
    <row r="21" spans="1:4">
      <c r="A21" s="161"/>
      <c r="B21" s="71" t="s">
        <v>74</v>
      </c>
      <c r="C21" s="71"/>
      <c r="D21" s="100">
        <v>231.7</v>
      </c>
    </row>
    <row r="22" spans="1:4">
      <c r="A22" s="161"/>
      <c r="B22" s="71" t="s">
        <v>331</v>
      </c>
      <c r="C22" s="71"/>
      <c r="D22" s="100">
        <v>232.9</v>
      </c>
    </row>
    <row r="23" spans="1:4">
      <c r="A23" s="161"/>
      <c r="B23" s="71" t="s">
        <v>75</v>
      </c>
      <c r="C23" s="71"/>
      <c r="D23" s="100">
        <v>238.5</v>
      </c>
    </row>
    <row r="24" spans="1:4">
      <c r="A24" s="161"/>
      <c r="B24" s="21" t="s">
        <v>332</v>
      </c>
      <c r="C24" s="21"/>
      <c r="D24" s="100">
        <v>3479.1</v>
      </c>
    </row>
    <row r="25" spans="1:4">
      <c r="A25" s="161"/>
      <c r="B25" s="71" t="s">
        <v>333</v>
      </c>
      <c r="C25" s="71"/>
      <c r="D25" s="100">
        <v>4839.5</v>
      </c>
    </row>
    <row r="26" spans="1:4">
      <c r="A26" s="162"/>
      <c r="B26" s="143" t="s">
        <v>334</v>
      </c>
      <c r="C26" s="143"/>
      <c r="D26" s="94">
        <v>4908.5</v>
      </c>
    </row>
    <row r="27" spans="1:4">
      <c r="A27" s="161">
        <v>0.1</v>
      </c>
      <c r="B27" s="71" t="s">
        <v>335</v>
      </c>
      <c r="C27" s="71"/>
      <c r="D27" s="100">
        <v>0</v>
      </c>
    </row>
    <row r="28" spans="1:4">
      <c r="A28" s="161"/>
      <c r="B28" s="71" t="s">
        <v>336</v>
      </c>
      <c r="C28" s="71"/>
      <c r="D28" s="100">
        <v>0</v>
      </c>
    </row>
    <row r="29" spans="1:4">
      <c r="A29" s="161"/>
      <c r="B29" s="71" t="s">
        <v>337</v>
      </c>
      <c r="C29" s="71" t="s">
        <v>338</v>
      </c>
      <c r="D29" s="100">
        <v>0</v>
      </c>
    </row>
    <row r="30" spans="1:4">
      <c r="A30" s="161"/>
      <c r="B30" s="71" t="s">
        <v>339</v>
      </c>
      <c r="C30" s="71"/>
      <c r="D30" s="100">
        <v>0</v>
      </c>
    </row>
    <row r="31" spans="1:4">
      <c r="A31" s="161"/>
      <c r="B31" s="71" t="s">
        <v>340</v>
      </c>
      <c r="C31" s="71"/>
      <c r="D31" s="100">
        <v>0</v>
      </c>
    </row>
    <row r="32" spans="1:4">
      <c r="A32" s="161"/>
      <c r="B32" s="21" t="s">
        <v>67</v>
      </c>
      <c r="C32" s="21"/>
      <c r="D32" s="100">
        <v>0</v>
      </c>
    </row>
    <row r="33" ht="17.25" spans="1:4">
      <c r="A33" s="164"/>
      <c r="B33" s="165" t="s">
        <v>341</v>
      </c>
      <c r="C33" s="165"/>
      <c r="D33" s="166">
        <v>0</v>
      </c>
    </row>
  </sheetData>
  <sortState ref="A6:D36">
    <sortCondition ref="A6:A36" descending="1"/>
    <sortCondition ref="D6:D36"/>
  </sortState>
  <mergeCells count="4">
    <mergeCell ref="A1:D1"/>
    <mergeCell ref="A5:A13"/>
    <mergeCell ref="A15:A26"/>
    <mergeCell ref="A27:A3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0"/>
  <sheetViews>
    <sheetView workbookViewId="0">
      <selection activeCell="D37" sqref="D37"/>
    </sheetView>
  </sheetViews>
  <sheetFormatPr defaultColWidth="8" defaultRowHeight="16.5"/>
  <cols>
    <col min="1" max="1" width="11.3333333333333" style="2" customWidth="1"/>
    <col min="2" max="2" width="12.7777777777778" style="2" customWidth="1"/>
    <col min="3" max="5" width="7.88888888888889" style="2" customWidth="1"/>
    <col min="6" max="6" width="4.88888888888889" style="51" customWidth="1"/>
    <col min="7" max="7" width="45.5555555555556" style="2" customWidth="1"/>
    <col min="8" max="8" width="8.55555555555556" style="2" customWidth="1"/>
    <col min="9" max="9" width="7.88888888888889" style="2" customWidth="1"/>
    <col min="10" max="11" width="8.77777777777778" style="2" customWidth="1"/>
    <col min="12" max="13" width="7.77777777777778" style="2" customWidth="1"/>
    <col min="14" max="15" width="8.77777777777778" style="2" customWidth="1"/>
    <col min="16" max="17" width="5.77777777777778" style="2" customWidth="1"/>
    <col min="18" max="18" width="10.7777777777778" style="2" customWidth="1"/>
    <col min="19" max="16384" width="8" style="2"/>
  </cols>
  <sheetData>
    <row r="1" s="2" customFormat="1" ht="22.5" spans="1:18">
      <c r="A1" s="110" t="s">
        <v>342</v>
      </c>
      <c r="B1" s="111"/>
      <c r="C1" s="111"/>
      <c r="D1" s="111"/>
      <c r="E1" s="111"/>
      <c r="F1" s="111"/>
      <c r="G1" s="111"/>
      <c r="H1" s="112"/>
      <c r="J1" s="110" t="s">
        <v>343</v>
      </c>
      <c r="K1" s="111"/>
      <c r="L1" s="111"/>
      <c r="M1" s="111"/>
      <c r="N1" s="111"/>
      <c r="O1" s="111"/>
      <c r="P1" s="111"/>
      <c r="Q1" s="111"/>
      <c r="R1" s="112"/>
    </row>
    <row r="2" s="2" customFormat="1" spans="1:18">
      <c r="A2" s="113" t="s">
        <v>344</v>
      </c>
      <c r="B2" s="114"/>
      <c r="C2" s="114"/>
      <c r="D2" s="114"/>
      <c r="E2" s="114"/>
      <c r="F2" s="115"/>
      <c r="G2" s="114"/>
      <c r="H2" s="116"/>
      <c r="J2" s="117" t="s">
        <v>345</v>
      </c>
      <c r="K2" s="72"/>
      <c r="L2" s="72"/>
      <c r="M2" s="72"/>
      <c r="N2" s="72"/>
      <c r="O2" s="72"/>
      <c r="P2" s="72"/>
      <c r="Q2" s="72"/>
      <c r="R2" s="118"/>
    </row>
    <row r="3" s="51" customFormat="1" spans="1:18">
      <c r="A3" s="119" t="s">
        <v>8</v>
      </c>
      <c r="B3" s="115" t="s">
        <v>346</v>
      </c>
      <c r="C3" s="115" t="s">
        <v>347</v>
      </c>
      <c r="D3" s="115" t="s">
        <v>348</v>
      </c>
      <c r="E3" s="115" t="s">
        <v>349</v>
      </c>
      <c r="F3" s="115" t="s">
        <v>350</v>
      </c>
      <c r="G3" s="115" t="s">
        <v>351</v>
      </c>
      <c r="H3" s="120" t="s">
        <v>306</v>
      </c>
      <c r="I3" s="2"/>
      <c r="J3" s="119" t="s">
        <v>352</v>
      </c>
      <c r="K3" s="121"/>
      <c r="L3" s="122" t="s">
        <v>353</v>
      </c>
      <c r="M3" s="121"/>
      <c r="N3" s="122" t="s">
        <v>354</v>
      </c>
      <c r="O3" s="121"/>
      <c r="P3" s="122" t="s">
        <v>355</v>
      </c>
      <c r="Q3" s="121"/>
      <c r="R3" s="123" t="s">
        <v>356</v>
      </c>
    </row>
    <row r="4" s="51" customFormat="1" spans="1:18">
      <c r="A4" s="98" t="s">
        <v>357</v>
      </c>
      <c r="B4" s="51">
        <v>4</v>
      </c>
      <c r="C4" s="53">
        <v>0.4</v>
      </c>
      <c r="D4" s="53">
        <v>0.58</v>
      </c>
      <c r="E4" s="51"/>
      <c r="F4" s="124"/>
      <c r="G4" s="2" t="s">
        <v>358</v>
      </c>
      <c r="H4" s="100">
        <v>1981.8</v>
      </c>
      <c r="I4" s="2"/>
      <c r="J4" s="117" t="s">
        <v>164</v>
      </c>
      <c r="K4" s="125" t="s">
        <v>359</v>
      </c>
      <c r="L4" s="126" t="s">
        <v>164</v>
      </c>
      <c r="M4" s="125" t="s">
        <v>359</v>
      </c>
      <c r="N4" s="126" t="s">
        <v>164</v>
      </c>
      <c r="O4" s="125" t="s">
        <v>359</v>
      </c>
      <c r="P4" s="126" t="s">
        <v>164</v>
      </c>
      <c r="Q4" s="125" t="s">
        <v>359</v>
      </c>
      <c r="R4" s="127">
        <v>0.05</v>
      </c>
    </row>
    <row r="5" s="2" customFormat="1" spans="1:18">
      <c r="A5" s="98" t="s">
        <v>360</v>
      </c>
      <c r="B5" s="51">
        <v>5</v>
      </c>
      <c r="C5" s="53">
        <v>0.35</v>
      </c>
      <c r="D5" s="53">
        <v>0.55</v>
      </c>
      <c r="E5" s="51"/>
      <c r="F5" s="128" t="s">
        <v>361</v>
      </c>
      <c r="G5" s="2"/>
      <c r="H5" s="100">
        <v>3534.3</v>
      </c>
      <c r="J5" s="117" t="s">
        <v>362</v>
      </c>
      <c r="K5" s="125" t="s">
        <v>363</v>
      </c>
      <c r="L5" s="126" t="s">
        <v>364</v>
      </c>
      <c r="M5" s="125" t="s">
        <v>363</v>
      </c>
      <c r="N5" s="126" t="s">
        <v>365</v>
      </c>
      <c r="O5" s="125" t="s">
        <v>363</v>
      </c>
      <c r="P5" s="126">
        <v>1</v>
      </c>
      <c r="Q5" s="129">
        <v>0.07</v>
      </c>
      <c r="R5" s="127"/>
    </row>
    <row r="6" s="2" customFormat="1" spans="1:18">
      <c r="A6" s="98" t="s">
        <v>366</v>
      </c>
      <c r="B6" s="51">
        <v>6</v>
      </c>
      <c r="C6" s="53">
        <v>0.3</v>
      </c>
      <c r="D6" s="53">
        <v>0.51</v>
      </c>
      <c r="E6" s="51"/>
      <c r="F6" s="124"/>
      <c r="G6" s="2" t="s">
        <v>367</v>
      </c>
      <c r="H6" s="100">
        <v>4872.2</v>
      </c>
      <c r="J6" s="117" t="s">
        <v>368</v>
      </c>
      <c r="K6" s="129">
        <v>0.05</v>
      </c>
      <c r="L6" s="126" t="s">
        <v>369</v>
      </c>
      <c r="M6" s="129">
        <v>0.02</v>
      </c>
      <c r="N6" s="126" t="s">
        <v>370</v>
      </c>
      <c r="O6" s="129">
        <v>0.08</v>
      </c>
      <c r="P6" s="126">
        <v>2</v>
      </c>
      <c r="Q6" s="129">
        <v>0.09</v>
      </c>
      <c r="R6" s="127"/>
    </row>
    <row r="7" s="2" customFormat="1" ht="33" spans="1:18">
      <c r="A7" s="98" t="s">
        <v>371</v>
      </c>
      <c r="B7" s="51">
        <v>6</v>
      </c>
      <c r="C7" s="53">
        <v>0.3</v>
      </c>
      <c r="D7" s="53">
        <v>0.51</v>
      </c>
      <c r="E7" s="51"/>
      <c r="F7" s="124"/>
      <c r="G7" s="130" t="s">
        <v>372</v>
      </c>
      <c r="H7" s="100">
        <v>5190.7</v>
      </c>
      <c r="J7" s="117" t="s">
        <v>373</v>
      </c>
      <c r="K7" s="129">
        <v>0.1</v>
      </c>
      <c r="L7" s="126" t="s">
        <v>374</v>
      </c>
      <c r="M7" s="129">
        <v>0.04</v>
      </c>
      <c r="N7" s="126" t="s">
        <v>375</v>
      </c>
      <c r="O7" s="129">
        <v>0.16</v>
      </c>
      <c r="P7" s="126">
        <v>3</v>
      </c>
      <c r="Q7" s="129">
        <v>0.11</v>
      </c>
      <c r="R7" s="127"/>
    </row>
    <row r="8" s="2" customFormat="1" spans="1:18">
      <c r="A8" s="98" t="s">
        <v>376</v>
      </c>
      <c r="B8" s="51">
        <v>5</v>
      </c>
      <c r="C8" s="53">
        <v>0.3</v>
      </c>
      <c r="D8" s="53">
        <v>0.5</v>
      </c>
      <c r="E8" s="51"/>
      <c r="F8" s="131"/>
      <c r="G8" s="132" t="s">
        <v>358</v>
      </c>
      <c r="H8" s="100">
        <v>3496.5</v>
      </c>
      <c r="J8" s="133" t="s">
        <v>377</v>
      </c>
      <c r="K8" s="134">
        <v>0.15</v>
      </c>
      <c r="L8" s="135" t="s">
        <v>378</v>
      </c>
      <c r="M8" s="134">
        <v>0.05</v>
      </c>
      <c r="N8" s="135"/>
      <c r="O8" s="136"/>
      <c r="P8" s="135"/>
      <c r="Q8" s="136"/>
      <c r="R8" s="137"/>
    </row>
    <row r="9" s="2" customFormat="1" ht="17.25" spans="1:18">
      <c r="A9" s="98" t="s">
        <v>379</v>
      </c>
      <c r="B9" s="51">
        <v>5</v>
      </c>
      <c r="C9" s="53">
        <v>0.3</v>
      </c>
      <c r="D9" s="53">
        <v>0.5</v>
      </c>
      <c r="E9" s="51"/>
      <c r="F9" s="124"/>
      <c r="G9" s="2" t="s">
        <v>380</v>
      </c>
      <c r="H9" s="100">
        <v>3675.2</v>
      </c>
      <c r="J9" s="138" t="s">
        <v>381</v>
      </c>
      <c r="K9" s="139"/>
      <c r="L9" s="139"/>
      <c r="M9" s="139"/>
      <c r="N9" s="139"/>
      <c r="O9" s="139"/>
      <c r="P9" s="139"/>
      <c r="Q9" s="139"/>
      <c r="R9" s="140"/>
    </row>
    <row r="10" s="2" customFormat="1" spans="1:18">
      <c r="A10" s="98" t="s">
        <v>382</v>
      </c>
      <c r="B10" s="51">
        <v>6</v>
      </c>
      <c r="C10" s="53">
        <v>0.29</v>
      </c>
      <c r="D10" s="53">
        <v>0.5</v>
      </c>
      <c r="E10" s="51" t="s">
        <v>383</v>
      </c>
      <c r="F10" s="124"/>
      <c r="G10" s="2" t="s">
        <v>384</v>
      </c>
      <c r="H10" s="100">
        <v>5271</v>
      </c>
      <c r="J10" s="141"/>
      <c r="K10" s="141"/>
      <c r="L10" s="141"/>
      <c r="M10" s="141"/>
      <c r="N10" s="141"/>
      <c r="O10" s="141"/>
      <c r="P10" s="141"/>
      <c r="Q10" s="141"/>
      <c r="R10" s="141"/>
    </row>
    <row r="11" s="2" customFormat="1" spans="1:18">
      <c r="A11" s="98" t="s">
        <v>385</v>
      </c>
      <c r="B11" s="51">
        <v>6</v>
      </c>
      <c r="C11" s="53">
        <v>0.25</v>
      </c>
      <c r="D11" s="53">
        <v>0.46</v>
      </c>
      <c r="E11" s="51"/>
      <c r="F11" s="124"/>
      <c r="H11" s="100">
        <v>4968.6</v>
      </c>
    </row>
    <row r="12" s="2" customFormat="1" spans="1:18">
      <c r="A12" s="98" t="s">
        <v>386</v>
      </c>
      <c r="B12" s="51">
        <v>5</v>
      </c>
      <c r="C12" s="53">
        <v>0.25</v>
      </c>
      <c r="D12" s="53">
        <v>0.45</v>
      </c>
      <c r="E12" s="51"/>
      <c r="F12" s="124"/>
      <c r="G12" s="2"/>
      <c r="H12" s="100">
        <v>3124</v>
      </c>
    </row>
    <row r="13" s="2" customFormat="1" spans="1:18">
      <c r="A13" s="98" t="s">
        <v>387</v>
      </c>
      <c r="B13" s="51">
        <v>5</v>
      </c>
      <c r="C13" s="53">
        <v>0.25</v>
      </c>
      <c r="D13" s="53">
        <v>0.45</v>
      </c>
      <c r="E13" s="51"/>
      <c r="F13" s="124"/>
      <c r="G13" s="2"/>
      <c r="H13" s="100">
        <v>3448.1</v>
      </c>
    </row>
    <row r="14" s="2" customFormat="1" spans="1:18">
      <c r="A14" s="98" t="s">
        <v>388</v>
      </c>
      <c r="B14" s="51">
        <v>4</v>
      </c>
      <c r="C14" s="53">
        <v>0.25</v>
      </c>
      <c r="D14" s="53">
        <v>0.43</v>
      </c>
      <c r="E14" s="51"/>
      <c r="F14" s="124"/>
      <c r="G14" s="2"/>
      <c r="H14" s="100">
        <v>1953.5</v>
      </c>
    </row>
    <row r="15" s="2" customFormat="1" spans="1:18">
      <c r="A15" s="98" t="s">
        <v>389</v>
      </c>
      <c r="B15" s="51">
        <v>6</v>
      </c>
      <c r="C15" s="53">
        <v>0.2</v>
      </c>
      <c r="D15" s="53">
        <v>0.41</v>
      </c>
      <c r="E15" s="51"/>
      <c r="F15" s="124"/>
      <c r="G15" s="2"/>
      <c r="H15" s="100">
        <v>5061</v>
      </c>
    </row>
    <row r="16" s="2" customFormat="1" spans="1:18">
      <c r="A16" s="98" t="s">
        <v>390</v>
      </c>
      <c r="B16" s="51">
        <v>5</v>
      </c>
      <c r="C16" s="53">
        <v>0.2</v>
      </c>
      <c r="D16" s="53">
        <v>0.4</v>
      </c>
      <c r="E16" s="51"/>
      <c r="F16" s="124"/>
      <c r="G16" s="2"/>
      <c r="H16" s="100">
        <v>3090.2</v>
      </c>
    </row>
    <row r="17" s="2" customFormat="1" spans="1:8">
      <c r="A17" s="98" t="s">
        <v>391</v>
      </c>
      <c r="B17" s="51">
        <v>5</v>
      </c>
      <c r="C17" s="53">
        <v>0.2</v>
      </c>
      <c r="D17" s="53">
        <v>0.4</v>
      </c>
      <c r="E17" s="51"/>
      <c r="F17" s="124"/>
      <c r="H17" s="100">
        <v>3195</v>
      </c>
    </row>
    <row r="18" s="2" customFormat="1" spans="1:8">
      <c r="A18" s="98" t="s">
        <v>392</v>
      </c>
      <c r="B18" s="51">
        <v>5</v>
      </c>
      <c r="C18" s="53">
        <v>0.2</v>
      </c>
      <c r="D18" s="53">
        <v>0.4</v>
      </c>
      <c r="E18" s="51"/>
      <c r="F18" s="124"/>
      <c r="H18" s="100">
        <v>3221.4</v>
      </c>
    </row>
    <row r="19" s="2" customFormat="1" spans="1:8">
      <c r="A19" s="98" t="s">
        <v>393</v>
      </c>
      <c r="B19" s="51">
        <v>5</v>
      </c>
      <c r="C19" s="53">
        <v>0.2</v>
      </c>
      <c r="D19" s="53">
        <v>0.4</v>
      </c>
      <c r="E19" s="51"/>
      <c r="F19" s="124"/>
      <c r="H19" s="100">
        <v>3592.4</v>
      </c>
    </row>
    <row r="20" s="2" customFormat="1" spans="1:8">
      <c r="A20" s="98" t="s">
        <v>394</v>
      </c>
      <c r="B20" s="51">
        <v>4</v>
      </c>
      <c r="C20" s="53">
        <v>0.2</v>
      </c>
      <c r="D20" s="53">
        <v>0.38</v>
      </c>
      <c r="E20" s="51"/>
      <c r="F20" s="124"/>
      <c r="H20" s="100">
        <v>1666.6</v>
      </c>
    </row>
    <row r="21" s="2" customFormat="1" spans="1:8">
      <c r="A21" s="98" t="s">
        <v>395</v>
      </c>
      <c r="B21" s="51">
        <v>4</v>
      </c>
      <c r="C21" s="53">
        <v>0.2</v>
      </c>
      <c r="D21" s="53">
        <v>0.38</v>
      </c>
      <c r="E21" s="51"/>
      <c r="F21" s="124"/>
      <c r="H21" s="100">
        <v>1951.3</v>
      </c>
    </row>
    <row r="22" s="2" customFormat="1" spans="1:8">
      <c r="A22" s="98" t="s">
        <v>396</v>
      </c>
      <c r="B22" s="51">
        <v>4</v>
      </c>
      <c r="C22" s="53">
        <v>0.2</v>
      </c>
      <c r="D22" s="53">
        <v>0.38</v>
      </c>
      <c r="E22" s="51" t="s">
        <v>397</v>
      </c>
      <c r="F22" s="124"/>
      <c r="H22" s="100">
        <v>1969</v>
      </c>
    </row>
    <row r="23" s="2" customFormat="1" spans="1:8">
      <c r="A23" s="98" t="s">
        <v>398</v>
      </c>
      <c r="B23" s="51">
        <v>4</v>
      </c>
      <c r="C23" s="53">
        <v>0.2</v>
      </c>
      <c r="D23" s="53">
        <v>0.38</v>
      </c>
      <c r="E23" s="51"/>
      <c r="F23" s="124"/>
      <c r="H23" s="100">
        <v>1976.1</v>
      </c>
    </row>
    <row r="24" s="2" customFormat="1" spans="1:8">
      <c r="A24" s="98" t="s">
        <v>399</v>
      </c>
      <c r="B24" s="22">
        <v>4</v>
      </c>
      <c r="C24" s="81">
        <v>0.2</v>
      </c>
      <c r="D24" s="81">
        <v>0.38</v>
      </c>
      <c r="E24" s="22"/>
      <c r="F24" s="78"/>
      <c r="G24" s="21"/>
      <c r="H24" s="100">
        <v>1981.5</v>
      </c>
    </row>
    <row r="25" s="2" customFormat="1" spans="1:8">
      <c r="A25" s="98" t="s">
        <v>400</v>
      </c>
      <c r="B25" s="51">
        <v>6</v>
      </c>
      <c r="C25" s="53">
        <v>0.1</v>
      </c>
      <c r="D25" s="53">
        <v>0.31</v>
      </c>
      <c r="E25" s="51" t="s">
        <v>401</v>
      </c>
      <c r="F25" s="124"/>
      <c r="H25" s="100">
        <v>4427.1</v>
      </c>
    </row>
    <row r="26" s="2" customFormat="1" spans="1:8">
      <c r="A26" s="98" t="s">
        <v>402</v>
      </c>
      <c r="B26" s="51">
        <v>6</v>
      </c>
      <c r="C26" s="53">
        <v>0.1</v>
      </c>
      <c r="D26" s="53">
        <v>0.31</v>
      </c>
      <c r="E26" s="51" t="s">
        <v>403</v>
      </c>
      <c r="F26" s="124"/>
      <c r="H26" s="100">
        <v>4651.8</v>
      </c>
    </row>
    <row r="27" s="2" customFormat="1" spans="1:8">
      <c r="A27" s="98" t="s">
        <v>404</v>
      </c>
      <c r="B27" s="51">
        <v>6</v>
      </c>
      <c r="C27" s="53">
        <v>0.1</v>
      </c>
      <c r="D27" s="53">
        <v>0.31</v>
      </c>
      <c r="E27" s="51" t="s">
        <v>397</v>
      </c>
      <c r="F27" s="124"/>
      <c r="G27" s="2"/>
      <c r="H27" s="100">
        <v>4735.2</v>
      </c>
    </row>
    <row r="28" s="2" customFormat="1" spans="1:8">
      <c r="A28" s="98" t="s">
        <v>405</v>
      </c>
      <c r="B28" s="51">
        <v>5</v>
      </c>
      <c r="C28" s="53">
        <v>0.1</v>
      </c>
      <c r="D28" s="53">
        <v>0.3</v>
      </c>
      <c r="E28" s="51" t="s">
        <v>406</v>
      </c>
      <c r="F28" s="124"/>
      <c r="G28" s="2" t="s">
        <v>407</v>
      </c>
      <c r="H28" s="100">
        <v>2947.4</v>
      </c>
    </row>
    <row r="29" s="2" customFormat="1" spans="1:8">
      <c r="A29" s="98" t="s">
        <v>408</v>
      </c>
      <c r="B29" s="51">
        <v>5</v>
      </c>
      <c r="C29" s="53">
        <v>0.1</v>
      </c>
      <c r="D29" s="53">
        <v>0.3</v>
      </c>
      <c r="E29" s="51" t="s">
        <v>409</v>
      </c>
      <c r="F29" s="124"/>
      <c r="H29" s="100">
        <v>2953.4</v>
      </c>
    </row>
    <row r="30" s="2" customFormat="1" spans="1:8">
      <c r="A30" s="98" t="s">
        <v>410</v>
      </c>
      <c r="B30" s="51">
        <v>5</v>
      </c>
      <c r="C30" s="53">
        <v>0.1</v>
      </c>
      <c r="D30" s="53">
        <v>0.3</v>
      </c>
      <c r="E30" s="51" t="s">
        <v>383</v>
      </c>
      <c r="F30" s="124"/>
      <c r="H30" s="100">
        <v>3043.7</v>
      </c>
    </row>
    <row r="31" s="2" customFormat="1" spans="1:8">
      <c r="A31" s="98" t="s">
        <v>411</v>
      </c>
      <c r="B31" s="51">
        <v>5</v>
      </c>
      <c r="C31" s="53">
        <v>0.1</v>
      </c>
      <c r="D31" s="53">
        <v>0.3</v>
      </c>
      <c r="E31" s="51" t="s">
        <v>383</v>
      </c>
      <c r="F31" s="124"/>
      <c r="H31" s="100">
        <v>3326.5</v>
      </c>
    </row>
    <row r="32" s="2" customFormat="1" spans="1:8">
      <c r="A32" s="98" t="s">
        <v>412</v>
      </c>
      <c r="B32" s="51">
        <v>5</v>
      </c>
      <c r="C32" s="53">
        <v>0.1</v>
      </c>
      <c r="D32" s="53">
        <v>0.3</v>
      </c>
      <c r="E32" s="51" t="s">
        <v>413</v>
      </c>
      <c r="F32" s="124"/>
      <c r="H32" s="100">
        <v>3423</v>
      </c>
    </row>
    <row r="33" s="2" customFormat="1" spans="1:8">
      <c r="A33" s="98" t="s">
        <v>414</v>
      </c>
      <c r="B33" s="51">
        <v>5</v>
      </c>
      <c r="C33" s="53">
        <v>0.1</v>
      </c>
      <c r="D33" s="53">
        <v>0.3</v>
      </c>
      <c r="E33" s="51" t="s">
        <v>409</v>
      </c>
      <c r="F33" s="124"/>
      <c r="G33" s="2"/>
      <c r="H33" s="100">
        <v>3469.2</v>
      </c>
    </row>
    <row r="34" s="2" customFormat="1" spans="1:8">
      <c r="A34" s="98" t="s">
        <v>415</v>
      </c>
      <c r="B34" s="51">
        <v>5</v>
      </c>
      <c r="C34" s="53">
        <v>0.1</v>
      </c>
      <c r="D34" s="53">
        <v>0.3</v>
      </c>
      <c r="E34" s="51" t="s">
        <v>416</v>
      </c>
      <c r="F34" s="124"/>
      <c r="G34" s="2" t="s">
        <v>417</v>
      </c>
      <c r="H34" s="100">
        <v>3489</v>
      </c>
    </row>
    <row r="35" s="2" customFormat="1" spans="1:8">
      <c r="A35" s="98" t="s">
        <v>418</v>
      </c>
      <c r="B35" s="51">
        <v>5</v>
      </c>
      <c r="C35" s="53">
        <v>0.1</v>
      </c>
      <c r="D35" s="53">
        <v>0.3</v>
      </c>
      <c r="E35" s="51" t="s">
        <v>383</v>
      </c>
      <c r="F35" s="124"/>
      <c r="H35" s="100">
        <v>3617.9</v>
      </c>
    </row>
    <row r="36" s="2" customFormat="1" spans="1:8">
      <c r="A36" s="98" t="s">
        <v>419</v>
      </c>
      <c r="B36" s="51">
        <v>5</v>
      </c>
      <c r="C36" s="53">
        <v>0.1</v>
      </c>
      <c r="D36" s="53">
        <v>0.3</v>
      </c>
      <c r="E36" s="51" t="s">
        <v>420</v>
      </c>
      <c r="F36" s="124"/>
      <c r="H36" s="100">
        <v>3639.9</v>
      </c>
    </row>
    <row r="37" s="2" customFormat="1" spans="1:8">
      <c r="A37" s="98" t="s">
        <v>37</v>
      </c>
      <c r="B37" s="51">
        <v>4</v>
      </c>
      <c r="C37" s="53">
        <v>0.1</v>
      </c>
      <c r="D37" s="53">
        <v>0.28</v>
      </c>
      <c r="E37" s="51" t="s">
        <v>420</v>
      </c>
      <c r="F37" s="124"/>
      <c r="G37" s="2"/>
      <c r="H37" s="100">
        <v>1545.1</v>
      </c>
    </row>
    <row r="38" s="2" customFormat="1" spans="1:8">
      <c r="A38" s="98" t="s">
        <v>421</v>
      </c>
      <c r="B38" s="51">
        <v>4</v>
      </c>
      <c r="C38" s="53">
        <v>0.1</v>
      </c>
      <c r="D38" s="53">
        <v>0.28</v>
      </c>
      <c r="E38" s="51" t="s">
        <v>383</v>
      </c>
      <c r="F38" s="124"/>
      <c r="G38" s="2" t="s">
        <v>422</v>
      </c>
      <c r="H38" s="100">
        <v>1618.2</v>
      </c>
    </row>
    <row r="39" s="2" customFormat="1" spans="1:8">
      <c r="A39" s="98" t="s">
        <v>423</v>
      </c>
      <c r="B39" s="51">
        <v>4</v>
      </c>
      <c r="C39" s="53">
        <v>0.1</v>
      </c>
      <c r="D39" s="53">
        <v>0.28</v>
      </c>
      <c r="E39" s="51" t="s">
        <v>413</v>
      </c>
      <c r="F39" s="124"/>
      <c r="G39" s="2"/>
      <c r="H39" s="100">
        <v>2001.6</v>
      </c>
    </row>
    <row r="40" s="2" customFormat="1" spans="1:8">
      <c r="A40" s="98" t="s">
        <v>424</v>
      </c>
      <c r="B40" s="51">
        <v>5</v>
      </c>
      <c r="C40" s="53">
        <v>0.05</v>
      </c>
      <c r="D40" s="53">
        <v>0.25</v>
      </c>
      <c r="E40" s="51"/>
      <c r="F40" s="124"/>
      <c r="G40" s="2" t="s">
        <v>425</v>
      </c>
      <c r="H40" s="100">
        <v>3606.2</v>
      </c>
    </row>
    <row r="41" s="2" customFormat="1" spans="1:8">
      <c r="A41" s="98" t="s">
        <v>426</v>
      </c>
      <c r="B41" s="51">
        <v>6</v>
      </c>
      <c r="C41" s="53">
        <v>0</v>
      </c>
      <c r="D41" s="53">
        <v>0.21</v>
      </c>
      <c r="E41" s="51" t="s">
        <v>401</v>
      </c>
      <c r="F41" s="124"/>
      <c r="H41" s="100">
        <v>5729.4</v>
      </c>
    </row>
    <row r="42" s="2" customFormat="1" spans="1:8">
      <c r="A42" s="98" t="s">
        <v>427</v>
      </c>
      <c r="B42" s="51">
        <v>5</v>
      </c>
      <c r="C42" s="53">
        <v>0</v>
      </c>
      <c r="D42" s="53">
        <v>0.2</v>
      </c>
      <c r="E42" s="51" t="s">
        <v>409</v>
      </c>
      <c r="F42" s="124"/>
      <c r="G42" s="2"/>
      <c r="H42" s="100">
        <v>3254.6</v>
      </c>
    </row>
    <row r="43" s="2" customFormat="1" spans="1:8">
      <c r="A43" s="98" t="s">
        <v>428</v>
      </c>
      <c r="B43" s="51">
        <v>5</v>
      </c>
      <c r="C43" s="53">
        <v>0</v>
      </c>
      <c r="D43" s="53">
        <v>0.2</v>
      </c>
      <c r="E43" s="51" t="s">
        <v>403</v>
      </c>
      <c r="F43" s="124"/>
      <c r="H43" s="100">
        <v>3448.2</v>
      </c>
    </row>
    <row r="44" s="2" customFormat="1" spans="1:8">
      <c r="A44" s="98" t="s">
        <v>429</v>
      </c>
      <c r="B44" s="51">
        <v>5</v>
      </c>
      <c r="C44" s="53">
        <v>0</v>
      </c>
      <c r="D44" s="53">
        <v>0.2</v>
      </c>
      <c r="E44" s="51" t="s">
        <v>406</v>
      </c>
      <c r="F44" s="124"/>
      <c r="G44" s="2" t="s">
        <v>407</v>
      </c>
      <c r="H44" s="100">
        <v>3490</v>
      </c>
    </row>
    <row r="45" s="2" customFormat="1" spans="1:8">
      <c r="A45" s="98" t="s">
        <v>430</v>
      </c>
      <c r="B45" s="22">
        <v>2</v>
      </c>
      <c r="C45" s="81">
        <v>0.2</v>
      </c>
      <c r="D45" s="81">
        <v>0.2</v>
      </c>
      <c r="E45" s="22"/>
      <c r="F45" s="78"/>
      <c r="G45" s="21"/>
      <c r="H45" s="100"/>
    </row>
    <row r="46" s="2" customFormat="1" spans="1:8">
      <c r="A46" s="98" t="s">
        <v>143</v>
      </c>
      <c r="B46" s="51">
        <v>1</v>
      </c>
      <c r="C46" s="53">
        <v>0.1</v>
      </c>
      <c r="D46" s="53">
        <v>0.1</v>
      </c>
      <c r="E46" s="51" t="s">
        <v>383</v>
      </c>
      <c r="F46" s="128"/>
      <c r="G46" s="2" t="s">
        <v>431</v>
      </c>
      <c r="H46" s="100">
        <v>44.1</v>
      </c>
    </row>
    <row r="47" s="2" customFormat="1" spans="1:8">
      <c r="A47" s="91" t="s">
        <v>432</v>
      </c>
      <c r="B47" s="142">
        <v>1</v>
      </c>
      <c r="C47" s="89">
        <v>0</v>
      </c>
      <c r="D47" s="89">
        <v>0</v>
      </c>
      <c r="E47" s="142" t="s">
        <v>433</v>
      </c>
      <c r="F47" s="92"/>
      <c r="G47" s="143"/>
      <c r="H47" s="94">
        <v>44.1</v>
      </c>
    </row>
    <row r="48" s="2" customFormat="1" ht="22.5" spans="1:8">
      <c r="A48" s="144" t="s">
        <v>434</v>
      </c>
      <c r="B48" s="145"/>
      <c r="C48" s="145"/>
      <c r="D48" s="145"/>
      <c r="E48" s="145"/>
      <c r="F48" s="145"/>
      <c r="G48" s="145"/>
      <c r="H48" s="146"/>
    </row>
    <row r="49" s="2" customFormat="1" spans="1:8">
      <c r="A49" s="113" t="s">
        <v>435</v>
      </c>
      <c r="B49" s="114"/>
      <c r="C49" s="114"/>
      <c r="D49" s="114"/>
      <c r="E49" s="114"/>
      <c r="F49" s="115"/>
      <c r="G49" s="114"/>
      <c r="H49" s="116"/>
    </row>
    <row r="50" s="2" customFormat="1" spans="1:8">
      <c r="A50" s="80" t="s">
        <v>436</v>
      </c>
      <c r="B50" s="71"/>
      <c r="C50" s="71"/>
      <c r="D50" s="71"/>
      <c r="E50" s="71"/>
      <c r="F50" s="72"/>
      <c r="G50" s="71"/>
      <c r="H50" s="82"/>
    </row>
    <row r="51" s="2" customFormat="1" spans="1:8">
      <c r="A51" s="80" t="s">
        <v>437</v>
      </c>
      <c r="B51" s="71"/>
      <c r="C51" s="71"/>
      <c r="D51" s="71"/>
      <c r="E51" s="71"/>
      <c r="F51" s="72"/>
      <c r="G51" s="71"/>
      <c r="H51" s="82"/>
    </row>
    <row r="52" s="2" customFormat="1" spans="1:8">
      <c r="A52" s="119" t="s">
        <v>434</v>
      </c>
      <c r="B52" s="115" t="s">
        <v>346</v>
      </c>
      <c r="C52" s="115" t="s">
        <v>347</v>
      </c>
      <c r="D52" s="115" t="s">
        <v>348</v>
      </c>
      <c r="E52" s="115" t="s">
        <v>438</v>
      </c>
      <c r="F52" s="115" t="s">
        <v>350</v>
      </c>
      <c r="G52" s="115" t="s">
        <v>351</v>
      </c>
      <c r="H52" s="120" t="s">
        <v>306</v>
      </c>
    </row>
    <row r="53" s="2" customFormat="1" spans="1:8">
      <c r="A53" s="98" t="s">
        <v>439</v>
      </c>
      <c r="B53" s="51">
        <v>6</v>
      </c>
      <c r="C53" s="53">
        <v>0.5</v>
      </c>
      <c r="D53" s="53">
        <v>0.71</v>
      </c>
      <c r="E53" s="51" t="s">
        <v>383</v>
      </c>
      <c r="F53" s="128" t="s">
        <v>361</v>
      </c>
      <c r="H53" s="100">
        <v>5261.1</v>
      </c>
    </row>
    <row r="54" s="2" customFormat="1" spans="1:8">
      <c r="A54" s="98" t="s">
        <v>440</v>
      </c>
      <c r="B54" s="22">
        <v>5</v>
      </c>
      <c r="C54" s="81">
        <v>0.5</v>
      </c>
      <c r="D54" s="81">
        <v>0.7</v>
      </c>
      <c r="E54" s="22"/>
      <c r="F54" s="99" t="s">
        <v>361</v>
      </c>
      <c r="G54" s="21"/>
      <c r="H54" s="100">
        <v>3347.2</v>
      </c>
    </row>
    <row r="55" s="2" customFormat="1" spans="1:8">
      <c r="A55" s="98" t="s">
        <v>441</v>
      </c>
      <c r="B55" s="22">
        <v>5</v>
      </c>
      <c r="C55" s="81">
        <v>0.5</v>
      </c>
      <c r="D55" s="81">
        <v>0.7</v>
      </c>
      <c r="E55" s="22"/>
      <c r="F55" s="99"/>
      <c r="G55" s="21"/>
      <c r="H55" s="100">
        <v>3567</v>
      </c>
    </row>
    <row r="56" s="2" customFormat="1" spans="1:8">
      <c r="A56" s="98" t="s">
        <v>442</v>
      </c>
      <c r="B56" s="22">
        <v>6</v>
      </c>
      <c r="C56" s="81">
        <v>0.35</v>
      </c>
      <c r="D56" s="81">
        <v>0.56</v>
      </c>
      <c r="E56" s="22" t="s">
        <v>401</v>
      </c>
      <c r="F56" s="99" t="s">
        <v>443</v>
      </c>
      <c r="G56" s="21"/>
      <c r="H56" s="100">
        <v>5010.2</v>
      </c>
    </row>
    <row r="57" s="2" customFormat="1" spans="1:8">
      <c r="A57" s="98" t="s">
        <v>444</v>
      </c>
      <c r="B57" s="51">
        <v>5</v>
      </c>
      <c r="C57" s="53">
        <v>0.35</v>
      </c>
      <c r="D57" s="53">
        <v>0.55</v>
      </c>
      <c r="E57" s="51" t="s">
        <v>403</v>
      </c>
      <c r="F57" s="128" t="s">
        <v>443</v>
      </c>
      <c r="G57" s="2"/>
      <c r="H57" s="100">
        <v>3177.8</v>
      </c>
    </row>
    <row r="58" s="2" customFormat="1" spans="1:8">
      <c r="A58" s="91" t="s">
        <v>445</v>
      </c>
      <c r="B58" s="147">
        <v>5</v>
      </c>
      <c r="C58" s="89">
        <v>0.35</v>
      </c>
      <c r="D58" s="89">
        <v>0.55</v>
      </c>
      <c r="E58" s="147"/>
      <c r="F58" s="148" t="s">
        <v>443</v>
      </c>
      <c r="G58" s="93"/>
      <c r="H58" s="94">
        <v>3557.6</v>
      </c>
    </row>
    <row r="59" s="2" customFormat="1" ht="22.5" spans="1:8">
      <c r="A59" s="149" t="s">
        <v>446</v>
      </c>
      <c r="B59" s="150"/>
      <c r="C59" s="150"/>
      <c r="D59" s="150"/>
      <c r="E59" s="150"/>
      <c r="F59" s="150"/>
      <c r="G59" s="150"/>
      <c r="H59" s="151"/>
    </row>
    <row r="60" s="2" customFormat="1" spans="1:8">
      <c r="A60" s="117" t="s">
        <v>447</v>
      </c>
      <c r="B60" s="72" t="s">
        <v>448</v>
      </c>
      <c r="C60" s="72"/>
      <c r="D60" s="72" t="s">
        <v>348</v>
      </c>
      <c r="E60" s="72" t="s">
        <v>438</v>
      </c>
      <c r="F60" s="72" t="s">
        <v>350</v>
      </c>
      <c r="G60" s="72" t="s">
        <v>351</v>
      </c>
      <c r="H60" s="118" t="s">
        <v>306</v>
      </c>
    </row>
    <row r="61" s="2" customFormat="1" spans="1:8">
      <c r="A61" s="98" t="s">
        <v>449</v>
      </c>
      <c r="B61" s="51" t="s">
        <v>450</v>
      </c>
      <c r="C61" s="53"/>
      <c r="D61" s="53">
        <v>0.92</v>
      </c>
      <c r="E61" s="51"/>
      <c r="F61" s="124"/>
      <c r="H61" s="100">
        <v>10132.8</v>
      </c>
    </row>
    <row r="62" s="2" customFormat="1" spans="1:8">
      <c r="A62" s="98" t="s">
        <v>451</v>
      </c>
      <c r="B62" s="22" t="s">
        <v>452</v>
      </c>
      <c r="C62" s="22"/>
      <c r="D62" s="81">
        <v>0.81</v>
      </c>
      <c r="E62" s="22" t="s">
        <v>383</v>
      </c>
      <c r="F62" s="99" t="s">
        <v>453</v>
      </c>
      <c r="G62" s="21"/>
      <c r="H62" s="100">
        <v>8903.3</v>
      </c>
    </row>
    <row r="63" s="2" customFormat="1" spans="1:8">
      <c r="A63" s="98" t="s">
        <v>454</v>
      </c>
      <c r="B63" s="51" t="s">
        <v>419</v>
      </c>
      <c r="C63" s="27"/>
      <c r="D63" s="53">
        <v>0.8</v>
      </c>
      <c r="E63" s="51" t="s">
        <v>420</v>
      </c>
      <c r="F63" s="124"/>
      <c r="H63" s="100">
        <v>7271.1</v>
      </c>
    </row>
    <row r="64" s="2" customFormat="1" spans="1:8">
      <c r="A64" s="98" t="s">
        <v>452</v>
      </c>
      <c r="B64" s="22" t="s">
        <v>388</v>
      </c>
      <c r="C64" s="22"/>
      <c r="D64" s="81">
        <v>0.79</v>
      </c>
      <c r="E64" s="22"/>
      <c r="F64" s="78"/>
      <c r="G64" s="21" t="s">
        <v>455</v>
      </c>
      <c r="H64" s="100">
        <v>7372.9</v>
      </c>
    </row>
    <row r="65" s="2" customFormat="1" ht="17.25" spans="1:8">
      <c r="A65" s="105" t="s">
        <v>454</v>
      </c>
      <c r="B65" s="152" t="s">
        <v>37</v>
      </c>
      <c r="C65" s="152"/>
      <c r="D65" s="96">
        <v>0.78</v>
      </c>
      <c r="E65" s="152" t="s">
        <v>420</v>
      </c>
      <c r="F65" s="153"/>
      <c r="G65" s="154"/>
      <c r="H65" s="108">
        <v>5176.3</v>
      </c>
    </row>
    <row r="66" s="2" customFormat="1" ht="17.25" spans="1:8">
      <c r="F66" s="51"/>
    </row>
    <row r="67" s="2" customFormat="1" ht="22.5" spans="1:8">
      <c r="A67" s="110" t="s">
        <v>456</v>
      </c>
      <c r="B67" s="111"/>
      <c r="C67" s="111"/>
      <c r="D67" s="111"/>
      <c r="E67" s="111"/>
      <c r="F67" s="111"/>
      <c r="G67" s="112"/>
      <c r="H67" s="155"/>
    </row>
    <row r="68" s="2" customFormat="1" spans="1:8">
      <c r="A68" s="80" t="s">
        <v>457</v>
      </c>
      <c r="G68" s="82"/>
      <c r="H68" s="72"/>
    </row>
    <row r="69" spans="1:8">
      <c r="A69" s="119" t="s">
        <v>85</v>
      </c>
      <c r="B69" s="115" t="s">
        <v>79</v>
      </c>
      <c r="C69" s="115"/>
      <c r="D69" s="115" t="s">
        <v>348</v>
      </c>
      <c r="E69" s="114"/>
      <c r="F69" s="115"/>
      <c r="G69" s="120" t="s">
        <v>351</v>
      </c>
      <c r="H69" s="72"/>
    </row>
    <row r="70" s="2" customFormat="1" spans="1:8">
      <c r="A70" s="80" t="s">
        <v>458</v>
      </c>
      <c r="B70" s="71"/>
      <c r="C70" s="71"/>
      <c r="D70" s="232" t="s">
        <v>459</v>
      </c>
      <c r="E70" s="71"/>
      <c r="F70" s="72"/>
      <c r="G70" s="118" t="s">
        <v>460</v>
      </c>
      <c r="H70" s="71"/>
    </row>
    <row r="71" s="2" customFormat="1" spans="1:8">
      <c r="A71" s="80" t="s">
        <v>461</v>
      </c>
      <c r="B71" s="71"/>
      <c r="C71" s="71"/>
      <c r="D71" s="232" t="s">
        <v>462</v>
      </c>
      <c r="E71" s="71"/>
      <c r="F71" s="72"/>
      <c r="G71" s="118"/>
      <c r="H71" s="71"/>
    </row>
    <row r="72" s="2" customFormat="1" spans="1:8">
      <c r="A72" s="88" t="s">
        <v>463</v>
      </c>
      <c r="B72" s="143"/>
      <c r="C72" s="143"/>
      <c r="D72" s="233" t="s">
        <v>464</v>
      </c>
      <c r="E72" s="143"/>
      <c r="F72" s="142"/>
      <c r="G72" s="156"/>
      <c r="H72" s="71"/>
    </row>
    <row r="73" s="2" customFormat="1" spans="1:8">
      <c r="A73" s="113" t="s">
        <v>465</v>
      </c>
      <c r="B73" s="114" t="s">
        <v>466</v>
      </c>
      <c r="C73" s="114"/>
      <c r="D73" s="84">
        <v>0.56</v>
      </c>
      <c r="E73" s="114"/>
      <c r="F73" s="115"/>
      <c r="G73" s="116" t="s">
        <v>467</v>
      </c>
      <c r="H73" s="71"/>
    </row>
    <row r="74" s="2" customFormat="1" spans="1:8">
      <c r="A74" s="88" t="s">
        <v>468</v>
      </c>
      <c r="B74" s="143" t="s">
        <v>469</v>
      </c>
      <c r="C74" s="143"/>
      <c r="D74" s="89">
        <f>30%+20%+20%</f>
        <v>0.7</v>
      </c>
      <c r="E74" s="143"/>
      <c r="F74" s="142"/>
      <c r="G74" s="90" t="s">
        <v>470</v>
      </c>
      <c r="H74" s="71"/>
    </row>
    <row r="75" s="2" customFormat="1" spans="1:8">
      <c r="A75" s="113" t="s">
        <v>471</v>
      </c>
      <c r="B75" s="114"/>
      <c r="C75" s="114"/>
      <c r="D75" s="115"/>
      <c r="E75" s="114"/>
      <c r="F75" s="115"/>
      <c r="G75" s="116" t="s">
        <v>472</v>
      </c>
      <c r="H75" s="71"/>
    </row>
    <row r="76" s="2" customFormat="1" ht="33" spans="1:8">
      <c r="A76" s="80" t="s">
        <v>473</v>
      </c>
      <c r="B76" s="71"/>
      <c r="C76" s="71"/>
      <c r="D76" s="72"/>
      <c r="E76" s="71"/>
      <c r="F76" s="109"/>
      <c r="G76" s="157" t="s">
        <v>474</v>
      </c>
      <c r="H76" s="71"/>
    </row>
    <row r="77" s="2" customFormat="1" spans="1:8">
      <c r="A77" s="80" t="s">
        <v>475</v>
      </c>
      <c r="B77" s="71"/>
      <c r="C77" s="71"/>
      <c r="D77" s="72"/>
      <c r="E77" s="71"/>
      <c r="F77" s="72"/>
      <c r="G77" s="82" t="s">
        <v>476</v>
      </c>
      <c r="H77" s="71"/>
    </row>
    <row r="78" s="2" customFormat="1" ht="33" spans="1:8">
      <c r="A78" s="80" t="s">
        <v>477</v>
      </c>
      <c r="B78" s="71"/>
      <c r="C78" s="71"/>
      <c r="D78" s="71"/>
      <c r="E78" s="71"/>
      <c r="F78" s="109"/>
      <c r="G78" s="157" t="s">
        <v>478</v>
      </c>
      <c r="H78" s="71"/>
    </row>
    <row r="79" s="2" customFormat="1" spans="1:8">
      <c r="A79" s="88" t="s">
        <v>479</v>
      </c>
      <c r="B79" s="143"/>
      <c r="C79" s="143"/>
      <c r="D79" s="143"/>
      <c r="E79" s="143"/>
      <c r="F79" s="142"/>
      <c r="G79" s="90" t="s">
        <v>480</v>
      </c>
      <c r="H79" s="71"/>
    </row>
    <row r="80" s="2" customFormat="1" spans="1:8">
      <c r="A80" s="119" t="s">
        <v>82</v>
      </c>
      <c r="B80" s="114"/>
      <c r="C80" s="115"/>
      <c r="D80" s="115" t="s">
        <v>348</v>
      </c>
      <c r="E80" s="114"/>
      <c r="F80" s="115"/>
      <c r="G80" s="120" t="s">
        <v>351</v>
      </c>
      <c r="H80" s="71"/>
    </row>
    <row r="81" s="2" customFormat="1" spans="1:8">
      <c r="A81" s="80" t="s">
        <v>481</v>
      </c>
      <c r="B81" s="71"/>
      <c r="C81" s="71"/>
      <c r="D81" s="232" t="s">
        <v>464</v>
      </c>
      <c r="E81" s="71"/>
      <c r="F81" s="72"/>
      <c r="G81" s="118" t="s">
        <v>422</v>
      </c>
      <c r="H81" s="71"/>
    </row>
    <row r="82" s="2" customFormat="1" spans="1:8">
      <c r="A82" s="80" t="s">
        <v>482</v>
      </c>
      <c r="B82" s="71"/>
      <c r="C82" s="71"/>
      <c r="D82" s="72"/>
      <c r="E82" s="71"/>
      <c r="F82" s="72"/>
      <c r="G82" s="118"/>
      <c r="H82" s="71"/>
    </row>
    <row r="83" s="2" customFormat="1" spans="1:8">
      <c r="A83" s="80" t="s">
        <v>483</v>
      </c>
      <c r="B83" s="71"/>
      <c r="C83" s="71"/>
      <c r="D83" s="72"/>
      <c r="E83" s="71"/>
      <c r="F83" s="72"/>
      <c r="G83" s="118"/>
      <c r="H83" s="71"/>
    </row>
    <row r="84" s="2" customFormat="1" spans="1:8">
      <c r="A84" s="88" t="s">
        <v>484</v>
      </c>
      <c r="B84" s="143"/>
      <c r="C84" s="143"/>
      <c r="D84" s="142"/>
      <c r="E84" s="143"/>
      <c r="F84" s="142"/>
      <c r="G84" s="156"/>
      <c r="H84" s="71"/>
    </row>
    <row r="85" s="2" customFormat="1" spans="1:8">
      <c r="A85" s="80" t="s">
        <v>426</v>
      </c>
      <c r="B85" s="71"/>
      <c r="C85" s="71"/>
      <c r="D85" s="71"/>
      <c r="E85" s="71"/>
      <c r="F85" s="72"/>
      <c r="G85" s="82" t="s">
        <v>485</v>
      </c>
      <c r="H85" s="71"/>
    </row>
    <row r="86" s="2" customFormat="1" spans="1:8">
      <c r="A86" s="80" t="s">
        <v>486</v>
      </c>
      <c r="B86" s="71"/>
      <c r="C86" s="71"/>
      <c r="D86" s="71"/>
      <c r="E86" s="71"/>
      <c r="F86" s="72"/>
      <c r="G86" s="82" t="s">
        <v>487</v>
      </c>
      <c r="H86" s="71"/>
    </row>
    <row r="87" s="2" customFormat="1" ht="17.25" spans="1:8">
      <c r="A87" s="95" t="s">
        <v>488</v>
      </c>
      <c r="B87" s="154"/>
      <c r="C87" s="154"/>
      <c r="D87" s="154"/>
      <c r="E87" s="154"/>
      <c r="F87" s="152"/>
      <c r="G87" s="158" t="s">
        <v>489</v>
      </c>
      <c r="H87" s="71"/>
    </row>
    <row r="88" s="2" customFormat="1"/>
    <row r="89" s="2" customFormat="1"/>
    <row r="90" s="2" customFormat="1"/>
  </sheetData>
  <sortState ref="A65:H69">
    <sortCondition ref="D65:D69" descending="1"/>
    <sortCondition ref="H65:H69"/>
  </sortState>
  <mergeCells count="20">
    <mergeCell ref="A1:H1"/>
    <mergeCell ref="J1:R1"/>
    <mergeCell ref="A2:H2"/>
    <mergeCell ref="J2:R2"/>
    <mergeCell ref="J3:K3"/>
    <mergeCell ref="L3:M3"/>
    <mergeCell ref="N3:O3"/>
    <mergeCell ref="P3:Q3"/>
    <mergeCell ref="J9:R9"/>
    <mergeCell ref="A48:H48"/>
    <mergeCell ref="A49:H49"/>
    <mergeCell ref="A50:H50"/>
    <mergeCell ref="A51:H51"/>
    <mergeCell ref="A59:H59"/>
    <mergeCell ref="A67:G67"/>
    <mergeCell ref="A68:G68"/>
    <mergeCell ref="D81:D84"/>
    <mergeCell ref="G70:G72"/>
    <mergeCell ref="G81:G84"/>
    <mergeCell ref="R4:R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workbookViewId="0">
      <selection activeCell="A1" sqref="A1:E1"/>
    </sheetView>
  </sheetViews>
  <sheetFormatPr defaultColWidth="8" defaultRowHeight="16.5"/>
  <cols>
    <col min="1" max="1" width="13.6666666666667" style="71" customWidth="1"/>
    <col min="2" max="2" width="4.66666666666667" style="71" customWidth="1"/>
    <col min="3" max="3" width="5.33333333333333" style="72" customWidth="1"/>
    <col min="4" max="4" width="48.5555555555556" style="71" customWidth="1"/>
    <col min="5" max="5" width="7.88888888888889" style="71" customWidth="1"/>
    <col min="6" max="6" width="8" style="71"/>
    <col min="7" max="7" width="9.55555555555556" style="71" customWidth="1"/>
    <col min="8" max="8" width="5.88888888888889" style="71" customWidth="1"/>
    <col min="9" max="9" width="44.7777777777778" style="71" customWidth="1"/>
    <col min="10" max="10" width="55.2222222222222" style="71" customWidth="1"/>
    <col min="11" max="16381" width="8" style="71"/>
    <col min="16382" max="16384" width="8" style="73"/>
  </cols>
  <sheetData>
    <row r="1" s="71" customFormat="1" ht="22.5" spans="1:10">
      <c r="A1" s="74" t="s">
        <v>490</v>
      </c>
      <c r="B1" s="75"/>
      <c r="C1" s="75"/>
      <c r="D1" s="75"/>
      <c r="E1" s="76"/>
      <c r="G1" s="74" t="s">
        <v>491</v>
      </c>
      <c r="H1" s="75"/>
      <c r="I1" s="76"/>
    </row>
    <row r="2" s="71" customFormat="1" spans="1:10">
      <c r="A2" s="77" t="s">
        <v>8</v>
      </c>
      <c r="B2" s="22" t="s">
        <v>7</v>
      </c>
      <c r="C2" s="78" t="s">
        <v>350</v>
      </c>
      <c r="D2" s="22" t="s">
        <v>351</v>
      </c>
      <c r="E2" s="79" t="s">
        <v>306</v>
      </c>
      <c r="G2" s="80" t="s">
        <v>492</v>
      </c>
      <c r="H2" s="234" t="s">
        <v>464</v>
      </c>
      <c r="I2" s="82" t="s">
        <v>493</v>
      </c>
      <c r="J2" s="2"/>
    </row>
    <row r="3" s="71" customFormat="1" spans="1:10">
      <c r="A3" s="83" t="s">
        <v>494</v>
      </c>
      <c r="B3" s="84">
        <v>0.5</v>
      </c>
      <c r="C3" s="85" t="s">
        <v>453</v>
      </c>
      <c r="D3" s="86"/>
      <c r="E3" s="87">
        <v>0</v>
      </c>
      <c r="G3" s="88" t="s">
        <v>495</v>
      </c>
      <c r="H3" s="89"/>
      <c r="I3" s="90"/>
    </row>
    <row r="4" s="71" customFormat="1" ht="17.25" spans="1:10">
      <c r="A4" s="91" t="s">
        <v>167</v>
      </c>
      <c r="B4" s="89">
        <v>0.5</v>
      </c>
      <c r="C4" s="92"/>
      <c r="D4" s="93" t="s">
        <v>496</v>
      </c>
      <c r="E4" s="94">
        <v>5334.4</v>
      </c>
      <c r="G4" s="95" t="s">
        <v>497</v>
      </c>
      <c r="H4" s="235" t="s">
        <v>498</v>
      </c>
      <c r="I4" s="97" t="s">
        <v>499</v>
      </c>
    </row>
    <row r="5" s="71" customFormat="1" spans="1:10">
      <c r="A5" s="83" t="s">
        <v>83</v>
      </c>
      <c r="B5" s="84">
        <v>0.45</v>
      </c>
      <c r="C5" s="85" t="s">
        <v>361</v>
      </c>
      <c r="D5" s="86"/>
      <c r="E5" s="87">
        <v>232.8</v>
      </c>
    </row>
    <row r="6" s="71" customFormat="1" spans="1:10">
      <c r="A6" s="98" t="s">
        <v>500</v>
      </c>
      <c r="B6" s="81">
        <v>0.45</v>
      </c>
      <c r="C6" s="99" t="s">
        <v>443</v>
      </c>
      <c r="D6" s="21"/>
      <c r="E6" s="100">
        <v>3329.3</v>
      </c>
    </row>
    <row r="7" s="71" customFormat="1" spans="1:10">
      <c r="A7" s="98" t="s">
        <v>501</v>
      </c>
      <c r="B7" s="81">
        <v>0.45</v>
      </c>
      <c r="C7" s="78"/>
      <c r="D7" s="21" t="s">
        <v>314</v>
      </c>
      <c r="E7" s="100">
        <v>3419.4</v>
      </c>
    </row>
    <row r="8" s="71" customFormat="1" spans="1:10">
      <c r="A8" s="98" t="s">
        <v>502</v>
      </c>
      <c r="B8" s="81">
        <v>0.45</v>
      </c>
      <c r="C8" s="78"/>
      <c r="D8" s="21"/>
      <c r="E8" s="100">
        <v>3478.3</v>
      </c>
    </row>
    <row r="9" s="71" customFormat="1" spans="1:10">
      <c r="A9" s="98" t="s">
        <v>503</v>
      </c>
      <c r="B9" s="81">
        <v>0.45</v>
      </c>
      <c r="C9" s="78"/>
      <c r="D9" s="21"/>
      <c r="E9" s="100">
        <v>5180.6</v>
      </c>
    </row>
    <row r="10" s="71" customFormat="1" spans="1:10">
      <c r="A10" s="98" t="s">
        <v>504</v>
      </c>
      <c r="B10" s="81">
        <v>0.45</v>
      </c>
      <c r="C10" s="78"/>
      <c r="D10" s="21"/>
      <c r="E10" s="100">
        <v>5193.7</v>
      </c>
    </row>
    <row r="11" s="71" customFormat="1" spans="1:10">
      <c r="A11" s="98" t="s">
        <v>505</v>
      </c>
      <c r="B11" s="81">
        <v>0.45</v>
      </c>
      <c r="C11" s="78"/>
      <c r="D11" s="21"/>
      <c r="E11" s="100">
        <v>5412.1</v>
      </c>
    </row>
    <row r="12" s="71" customFormat="1" spans="1:10">
      <c r="A12" s="91" t="s">
        <v>506</v>
      </c>
      <c r="B12" s="89">
        <v>0.45</v>
      </c>
      <c r="C12" s="101" t="s">
        <v>507</v>
      </c>
      <c r="D12" s="93" t="s">
        <v>508</v>
      </c>
      <c r="E12" s="94">
        <v>5441.7</v>
      </c>
    </row>
    <row r="13" s="71" customFormat="1" spans="1:10">
      <c r="A13" s="98" t="s">
        <v>509</v>
      </c>
      <c r="B13" s="81">
        <v>0.4</v>
      </c>
      <c r="C13" s="78"/>
      <c r="D13" s="21"/>
      <c r="E13" s="100">
        <v>0</v>
      </c>
    </row>
    <row r="14" s="71" customFormat="1" spans="1:10">
      <c r="A14" s="98" t="s">
        <v>510</v>
      </c>
      <c r="B14" s="81">
        <v>0.4</v>
      </c>
      <c r="C14" s="78"/>
      <c r="D14" s="21"/>
      <c r="E14" s="100">
        <v>0</v>
      </c>
    </row>
    <row r="15" s="71" customFormat="1" spans="1:10">
      <c r="A15" s="98" t="s">
        <v>395</v>
      </c>
      <c r="B15" s="81">
        <v>0.4</v>
      </c>
      <c r="C15" s="78"/>
      <c r="D15" s="21"/>
      <c r="E15" s="100">
        <v>0</v>
      </c>
    </row>
    <row r="16" s="71" customFormat="1" spans="1:10">
      <c r="A16" s="98" t="s">
        <v>511</v>
      </c>
      <c r="B16" s="81">
        <v>0.4</v>
      </c>
      <c r="C16" s="102"/>
      <c r="D16" s="21"/>
      <c r="E16" s="100">
        <v>0</v>
      </c>
    </row>
    <row r="17" s="71" customFormat="1" spans="1:5">
      <c r="A17" s="98" t="s">
        <v>512</v>
      </c>
      <c r="B17" s="81">
        <v>0.4</v>
      </c>
      <c r="C17" s="102"/>
      <c r="D17" s="103"/>
      <c r="E17" s="100">
        <v>0</v>
      </c>
    </row>
    <row r="18" s="71" customFormat="1" spans="1:5">
      <c r="A18" s="98" t="s">
        <v>513</v>
      </c>
      <c r="B18" s="81">
        <v>0.4</v>
      </c>
      <c r="C18" s="78"/>
      <c r="D18" s="21"/>
      <c r="E18" s="100">
        <v>3106.3</v>
      </c>
    </row>
    <row r="19" s="71" customFormat="1" spans="1:5">
      <c r="A19" s="98" t="s">
        <v>514</v>
      </c>
      <c r="B19" s="81">
        <v>0.4</v>
      </c>
      <c r="C19" s="104" t="s">
        <v>507</v>
      </c>
      <c r="D19" s="21" t="s">
        <v>422</v>
      </c>
      <c r="E19" s="100">
        <v>4775.5</v>
      </c>
    </row>
    <row r="20" s="71" customFormat="1" spans="1:5">
      <c r="A20" s="98" t="s">
        <v>371</v>
      </c>
      <c r="B20" s="81">
        <v>0.35</v>
      </c>
      <c r="C20" s="102"/>
      <c r="D20" s="21"/>
      <c r="E20" s="100">
        <v>0</v>
      </c>
    </row>
    <row r="21" s="71" customFormat="1" spans="1:5">
      <c r="A21" s="98" t="s">
        <v>482</v>
      </c>
      <c r="B21" s="81">
        <v>0.35</v>
      </c>
      <c r="C21" s="78"/>
      <c r="D21" s="21"/>
      <c r="E21" s="100">
        <v>0</v>
      </c>
    </row>
    <row r="22" s="71" customFormat="1" spans="1:5">
      <c r="A22" s="98" t="s">
        <v>483</v>
      </c>
      <c r="B22" s="81">
        <v>0.35</v>
      </c>
      <c r="C22" s="78"/>
      <c r="D22" s="21"/>
      <c r="E22" s="100">
        <v>2794.7</v>
      </c>
    </row>
    <row r="23" s="71" customFormat="1" spans="1:5">
      <c r="A23" s="98" t="s">
        <v>515</v>
      </c>
      <c r="B23" s="81">
        <v>0.35</v>
      </c>
      <c r="C23" s="78"/>
      <c r="D23" s="21" t="s">
        <v>516</v>
      </c>
      <c r="E23" s="100">
        <v>3359.3</v>
      </c>
    </row>
    <row r="24" s="71" customFormat="1" spans="1:5">
      <c r="A24" s="98" t="s">
        <v>484</v>
      </c>
      <c r="B24" s="81">
        <v>0.35</v>
      </c>
      <c r="C24" s="78"/>
      <c r="D24" s="21"/>
      <c r="E24" s="100">
        <v>3400.3</v>
      </c>
    </row>
    <row r="25" s="71" customFormat="1" spans="1:5">
      <c r="A25" s="98" t="s">
        <v>481</v>
      </c>
      <c r="B25" s="81">
        <v>0.3</v>
      </c>
      <c r="C25" s="78"/>
      <c r="D25" s="21"/>
      <c r="E25" s="100">
        <v>0</v>
      </c>
    </row>
    <row r="26" s="71" customFormat="1" spans="1:5">
      <c r="A26" s="98" t="s">
        <v>517</v>
      </c>
      <c r="B26" s="81">
        <v>0.3</v>
      </c>
      <c r="C26" s="104" t="s">
        <v>507</v>
      </c>
      <c r="D26" s="21"/>
      <c r="E26" s="100">
        <v>3221.4</v>
      </c>
    </row>
    <row r="27" s="71" customFormat="1" spans="1:5">
      <c r="A27" s="98" t="s">
        <v>518</v>
      </c>
      <c r="B27" s="81">
        <v>0.3</v>
      </c>
      <c r="C27" s="104" t="s">
        <v>507</v>
      </c>
      <c r="D27" s="21"/>
      <c r="E27" s="100">
        <v>3303.7</v>
      </c>
    </row>
    <row r="28" s="71" customFormat="1" spans="1:5">
      <c r="A28" s="98" t="s">
        <v>488</v>
      </c>
      <c r="B28" s="81">
        <v>0.2</v>
      </c>
      <c r="C28" s="78"/>
      <c r="D28" s="21"/>
      <c r="E28" s="100">
        <v>0</v>
      </c>
    </row>
    <row r="29" s="71" customFormat="1" spans="1:5">
      <c r="A29" s="98" t="s">
        <v>426</v>
      </c>
      <c r="B29" s="81">
        <v>0.2</v>
      </c>
      <c r="C29" s="78"/>
      <c r="D29" s="21"/>
      <c r="E29" s="100">
        <v>0</v>
      </c>
    </row>
    <row r="30" s="71" customFormat="1" spans="1:5">
      <c r="A30" s="98" t="s">
        <v>519</v>
      </c>
      <c r="B30" s="81">
        <v>0.2</v>
      </c>
      <c r="C30" s="78"/>
      <c r="D30" s="21"/>
      <c r="E30" s="100">
        <v>0</v>
      </c>
    </row>
    <row r="31" s="71" customFormat="1" spans="1:5">
      <c r="A31" s="98" t="s">
        <v>520</v>
      </c>
      <c r="B31" s="81">
        <v>0.2</v>
      </c>
      <c r="C31" s="78"/>
      <c r="D31" s="21"/>
      <c r="E31" s="100">
        <v>0</v>
      </c>
    </row>
    <row r="32" s="71" customFormat="1" spans="1:5">
      <c r="A32" s="98" t="s">
        <v>521</v>
      </c>
      <c r="B32" s="81">
        <v>0.2</v>
      </c>
      <c r="C32" s="104" t="s">
        <v>507</v>
      </c>
      <c r="D32" s="21"/>
      <c r="E32" s="100">
        <v>337.4</v>
      </c>
    </row>
    <row r="33" s="71" customFormat="1" ht="33" spans="1:5">
      <c r="A33" s="98" t="s">
        <v>522</v>
      </c>
      <c r="B33" s="81">
        <v>0.2</v>
      </c>
      <c r="C33" s="78"/>
      <c r="D33" s="103" t="s">
        <v>523</v>
      </c>
      <c r="E33" s="100">
        <v>2798.7</v>
      </c>
    </row>
    <row r="34" s="71" customFormat="1" ht="17.25" spans="1:5">
      <c r="A34" s="105" t="s">
        <v>486</v>
      </c>
      <c r="B34" s="96">
        <v>0.2</v>
      </c>
      <c r="C34" s="106"/>
      <c r="D34" s="107"/>
      <c r="E34" s="108">
        <v>4716.1</v>
      </c>
    </row>
    <row r="35" s="71" customFormat="1"/>
    <row r="36" s="71" customFormat="1"/>
    <row r="37" s="71" customFormat="1"/>
    <row r="39" s="71" customFormat="1" spans="1:5">
      <c r="C39" s="72"/>
    </row>
    <row r="40" s="71" customFormat="1" spans="1:5">
      <c r="C40" s="72"/>
    </row>
    <row r="41" s="71" customFormat="1" spans="1:5">
      <c r="C41" s="72"/>
    </row>
    <row r="42" s="71" customFormat="1" spans="1:5">
      <c r="C42" s="72"/>
    </row>
    <row r="43" s="71" customFormat="1" spans="1:5">
      <c r="C43" s="72"/>
    </row>
    <row r="51" s="71" customFormat="1" spans="3:3">
      <c r="C51" s="109"/>
    </row>
  </sheetData>
  <sortState ref="A4:E35">
    <sortCondition ref="B4:B35" descending="1"/>
    <sortCondition ref="E4:E35"/>
  </sortState>
  <mergeCells count="4">
    <mergeCell ref="A1:E1"/>
    <mergeCell ref="G1:I1"/>
    <mergeCell ref="H2:H3"/>
    <mergeCell ref="I2:I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zoomScale="115" zoomScaleNormal="115" workbookViewId="0">
      <pane ySplit="1" topLeftCell="A2" activePane="bottomLeft" state="frozen"/>
      <selection/>
      <selection pane="bottomLeft" activeCell="E29" sqref="E29"/>
    </sheetView>
  </sheetViews>
  <sheetFormatPr defaultColWidth="8" defaultRowHeight="16.5" outlineLevelCol="4"/>
  <cols>
    <col min="1" max="1" width="11.4444444444444" style="51" customWidth="1"/>
    <col min="2" max="2" width="7.88888888888889" style="51" customWidth="1"/>
    <col min="3" max="3" width="4.55555555555556" style="51" customWidth="1"/>
    <col min="4" max="4" width="39" style="2" customWidth="1"/>
    <col min="5" max="5" width="18" style="2" customWidth="1"/>
    <col min="6" max="16384" width="8" style="51"/>
  </cols>
  <sheetData>
    <row r="1" s="51" customFormat="1" spans="1:5">
      <c r="A1" s="51" t="s">
        <v>8</v>
      </c>
      <c r="B1" s="51" t="s">
        <v>6</v>
      </c>
      <c r="C1" s="51" t="s">
        <v>359</v>
      </c>
      <c r="D1" s="51" t="s">
        <v>351</v>
      </c>
      <c r="E1" s="51" t="s">
        <v>524</v>
      </c>
    </row>
    <row r="2" s="51" customFormat="1" spans="1:5">
      <c r="A2" s="54" t="s">
        <v>525</v>
      </c>
      <c r="B2" s="54"/>
      <c r="C2" s="54"/>
      <c r="D2" s="55"/>
      <c r="E2" s="2"/>
    </row>
    <row r="3" s="51" customFormat="1" spans="1:5">
      <c r="A3" s="51" t="s">
        <v>526</v>
      </c>
      <c r="B3" s="51" t="s">
        <v>527</v>
      </c>
      <c r="C3" s="51">
        <v>20</v>
      </c>
      <c r="D3" s="2" t="s">
        <v>528</v>
      </c>
      <c r="E3" s="66" t="s">
        <v>529</v>
      </c>
    </row>
    <row r="4" s="51" customFormat="1" spans="1:5">
      <c r="A4" s="51" t="s">
        <v>530</v>
      </c>
      <c r="B4" s="51" t="s">
        <v>12</v>
      </c>
      <c r="C4" s="51">
        <v>20</v>
      </c>
      <c r="D4" s="2" t="s">
        <v>528</v>
      </c>
      <c r="E4" s="67" t="s">
        <v>531</v>
      </c>
    </row>
    <row r="5" s="51" customFormat="1" spans="1:5">
      <c r="A5" s="51" t="s">
        <v>532</v>
      </c>
      <c r="B5" s="51" t="s">
        <v>82</v>
      </c>
      <c r="C5" s="51">
        <v>20</v>
      </c>
      <c r="D5" s="2" t="s">
        <v>533</v>
      </c>
      <c r="E5" s="2"/>
    </row>
    <row r="6" s="51" customFormat="1" spans="1:5">
      <c r="A6" s="51" t="s">
        <v>534</v>
      </c>
      <c r="B6" s="51" t="s">
        <v>85</v>
      </c>
      <c r="C6" s="51">
        <v>10</v>
      </c>
      <c r="D6" s="2" t="s">
        <v>535</v>
      </c>
      <c r="E6" s="2"/>
    </row>
    <row r="7" s="51" customFormat="1" spans="1:5">
      <c r="A7" s="51" t="s">
        <v>536</v>
      </c>
      <c r="B7" s="51" t="s">
        <v>85</v>
      </c>
      <c r="C7" s="51">
        <v>10</v>
      </c>
      <c r="D7" s="2" t="s">
        <v>537</v>
      </c>
      <c r="E7" s="2"/>
    </row>
    <row r="8" s="51" customFormat="1" spans="1:5">
      <c r="A8" s="51" t="s">
        <v>538</v>
      </c>
      <c r="B8" s="51" t="s">
        <v>539</v>
      </c>
      <c r="C8" s="51">
        <v>5</v>
      </c>
      <c r="D8" s="2" t="s">
        <v>540</v>
      </c>
      <c r="E8" s="2"/>
    </row>
    <row r="9" s="51" customFormat="1" spans="1:5">
      <c r="A9" s="51" t="s">
        <v>541</v>
      </c>
      <c r="B9" s="51" t="s">
        <v>539</v>
      </c>
      <c r="C9" s="51">
        <v>5</v>
      </c>
      <c r="D9" s="2" t="s">
        <v>542</v>
      </c>
      <c r="E9" s="2"/>
    </row>
    <row r="11" s="51" customFormat="1" spans="1:5">
      <c r="A11" s="54" t="s">
        <v>543</v>
      </c>
      <c r="B11" s="54"/>
      <c r="C11" s="54"/>
      <c r="D11" s="55"/>
      <c r="E11" s="2"/>
    </row>
    <row r="12" s="51" customFormat="1" spans="1:5">
      <c r="A12" s="51" t="s">
        <v>518</v>
      </c>
      <c r="B12" s="51" t="s">
        <v>82</v>
      </c>
      <c r="C12" s="51">
        <v>30</v>
      </c>
      <c r="D12" s="2" t="s">
        <v>544</v>
      </c>
      <c r="E12" s="2"/>
    </row>
    <row r="13" s="51" customFormat="1" spans="1:5">
      <c r="A13" s="51" t="s">
        <v>545</v>
      </c>
      <c r="B13" s="51" t="s">
        <v>539</v>
      </c>
      <c r="C13" s="51">
        <v>5</v>
      </c>
      <c r="D13" s="2" t="s">
        <v>546</v>
      </c>
      <c r="E13" s="2"/>
    </row>
    <row r="15" s="51" customFormat="1" spans="1:5">
      <c r="A15" s="54" t="s">
        <v>547</v>
      </c>
      <c r="B15" s="54"/>
      <c r="C15" s="54"/>
      <c r="D15" s="55"/>
      <c r="E15" s="2"/>
    </row>
    <row r="16" s="51" customFormat="1" spans="1:5">
      <c r="A16" s="51" t="s">
        <v>548</v>
      </c>
      <c r="B16" s="51" t="s">
        <v>12</v>
      </c>
      <c r="C16" s="51">
        <v>20</v>
      </c>
      <c r="D16" s="2" t="s">
        <v>528</v>
      </c>
      <c r="E16" s="67" t="s">
        <v>549</v>
      </c>
    </row>
    <row r="17" s="51" customFormat="1" spans="1:5">
      <c r="A17" s="51" t="s">
        <v>550</v>
      </c>
      <c r="B17" s="51" t="s">
        <v>85</v>
      </c>
      <c r="C17" s="51">
        <v>25</v>
      </c>
      <c r="D17" s="2" t="s">
        <v>551</v>
      </c>
      <c r="E17" s="68" t="s">
        <v>552</v>
      </c>
    </row>
    <row r="18" s="51" customFormat="1" spans="1:5">
      <c r="A18" s="51" t="s">
        <v>553</v>
      </c>
      <c r="B18" s="51" t="s">
        <v>82</v>
      </c>
      <c r="C18" s="51">
        <v>20</v>
      </c>
      <c r="D18" s="2" t="s">
        <v>554</v>
      </c>
      <c r="E18" s="2"/>
    </row>
    <row r="19" s="51" customFormat="1" spans="1:5">
      <c r="A19" s="51" t="s">
        <v>534</v>
      </c>
      <c r="B19" s="51" t="s">
        <v>85</v>
      </c>
      <c r="C19" s="51">
        <v>15</v>
      </c>
      <c r="D19" s="2" t="s">
        <v>555</v>
      </c>
      <c r="E19" s="2"/>
    </row>
    <row r="20" s="51" customFormat="1" spans="1:5">
      <c r="A20" s="51" t="s">
        <v>536</v>
      </c>
      <c r="B20" s="51" t="s">
        <v>85</v>
      </c>
      <c r="C20" s="51">
        <v>15</v>
      </c>
      <c r="D20" s="2" t="s">
        <v>556</v>
      </c>
      <c r="E20" s="2"/>
    </row>
    <row r="21" s="51" customFormat="1" spans="1:5">
      <c r="A21" s="51" t="s">
        <v>557</v>
      </c>
      <c r="B21" s="51" t="s">
        <v>527</v>
      </c>
      <c r="D21" s="2"/>
      <c r="E21" s="66" t="s">
        <v>558</v>
      </c>
    </row>
    <row r="22" s="51" customFormat="1" spans="1:5">
      <c r="A22" s="51" t="s">
        <v>559</v>
      </c>
      <c r="B22" s="51" t="s">
        <v>527</v>
      </c>
      <c r="D22" s="2" t="s">
        <v>560</v>
      </c>
      <c r="E22" s="66" t="s">
        <v>561</v>
      </c>
    </row>
    <row r="23" s="51" customFormat="1" spans="1:5">
      <c r="A23" s="51" t="s">
        <v>562</v>
      </c>
      <c r="B23" s="51" t="s">
        <v>79</v>
      </c>
      <c r="D23" s="2" t="s">
        <v>563</v>
      </c>
      <c r="E23" s="69" t="s">
        <v>564</v>
      </c>
    </row>
    <row r="24" s="51" customFormat="1" spans="1:5">
      <c r="A24" s="51" t="s">
        <v>565</v>
      </c>
      <c r="B24" s="51" t="s">
        <v>566</v>
      </c>
      <c r="D24" s="56" t="s">
        <v>567</v>
      </c>
      <c r="E24" s="70" t="s">
        <v>568</v>
      </c>
    </row>
    <row r="26" s="51" customFormat="1" spans="1:5">
      <c r="A26" s="51" t="s">
        <v>569</v>
      </c>
      <c r="D26" s="2"/>
      <c r="E26" s="2"/>
    </row>
  </sheetData>
  <mergeCells count="4">
    <mergeCell ref="A2:D2"/>
    <mergeCell ref="A11:D11"/>
    <mergeCell ref="A15:D15"/>
    <mergeCell ref="A26:D2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5"/>
  <sheetViews>
    <sheetView zoomScale="115" zoomScaleNormal="115" workbookViewId="0">
      <pane ySplit="2" topLeftCell="A3" activePane="bottomLeft" state="frozen"/>
      <selection/>
      <selection pane="bottomLeft" activeCell="F33" sqref="F33"/>
    </sheetView>
  </sheetViews>
  <sheetFormatPr defaultColWidth="8" defaultRowHeight="16.5" outlineLevelCol="5"/>
  <cols>
    <col min="1" max="1" width="36.7777777777778" style="2" customWidth="1"/>
    <col min="2" max="2" width="7.88888888888889" style="51" hidden="1" customWidth="1"/>
    <col min="3" max="3" width="7.88888888888889" style="51" customWidth="1"/>
    <col min="4" max="4" width="7.88888888888889" style="2" hidden="1" customWidth="1"/>
    <col min="5" max="5" width="9.44444444444444" style="51" customWidth="1"/>
    <col min="6" max="6" width="40.5555555555556" style="2" customWidth="1"/>
    <col min="7" max="7" width="8" style="2"/>
    <col min="8" max="11" width="7.88888888888889" style="2" customWidth="1"/>
    <col min="12" max="16384" width="8" style="2"/>
  </cols>
  <sheetData>
    <row r="1" spans="1:6">
      <c r="A1" s="2" t="s">
        <v>570</v>
      </c>
    </row>
    <row r="2" s="51" customFormat="1" spans="1:6">
      <c r="A2" s="51" t="s">
        <v>571</v>
      </c>
      <c r="B2" s="27" t="s">
        <v>572</v>
      </c>
      <c r="C2" s="35" t="s">
        <v>573</v>
      </c>
      <c r="D2" s="60" t="s">
        <v>574</v>
      </c>
      <c r="E2" s="60" t="s">
        <v>348</v>
      </c>
      <c r="F2" s="51" t="s">
        <v>107</v>
      </c>
    </row>
    <row r="3" s="55" customFormat="1" ht="15" spans="1:6">
      <c r="A3" s="55" t="s">
        <v>575</v>
      </c>
      <c r="B3" s="54"/>
      <c r="C3" s="54"/>
    </row>
    <row r="4" s="2" customFormat="1" spans="1:6">
      <c r="A4" s="2" t="s">
        <v>576</v>
      </c>
      <c r="B4" s="51"/>
      <c r="C4" s="51">
        <v>2</v>
      </c>
      <c r="E4" s="53">
        <v>0.4</v>
      </c>
      <c r="F4" s="59" t="s">
        <v>577</v>
      </c>
    </row>
    <row r="5" s="2" customFormat="1" spans="1:6">
      <c r="A5" s="2" t="s">
        <v>578</v>
      </c>
      <c r="B5" s="51"/>
      <c r="C5" s="51"/>
      <c r="E5" s="53">
        <v>0.4</v>
      </c>
      <c r="F5" s="2" t="s">
        <v>579</v>
      </c>
    </row>
    <row r="6" s="2" customFormat="1" spans="1:6">
      <c r="A6" s="2" t="s">
        <v>580</v>
      </c>
      <c r="B6" s="51"/>
      <c r="C6" s="51"/>
      <c r="E6" s="53">
        <v>0.4</v>
      </c>
      <c r="F6" s="2" t="s">
        <v>581</v>
      </c>
    </row>
    <row r="7" s="2" customFormat="1" spans="1:6">
      <c r="A7" s="2" t="s">
        <v>582</v>
      </c>
      <c r="B7" s="51"/>
      <c r="C7" s="51"/>
      <c r="E7" s="53">
        <v>0.4</v>
      </c>
      <c r="F7" s="2" t="s">
        <v>583</v>
      </c>
    </row>
    <row r="8" s="2" customFormat="1" spans="1:6">
      <c r="A8" s="2" t="s">
        <v>584</v>
      </c>
      <c r="B8" s="51"/>
      <c r="C8" s="51"/>
      <c r="E8" s="53">
        <v>0.4</v>
      </c>
      <c r="F8" s="2" t="s">
        <v>585</v>
      </c>
    </row>
    <row r="9" s="2" customFormat="1" spans="1:6">
      <c r="A9" s="2" t="s">
        <v>586</v>
      </c>
      <c r="B9" s="51"/>
      <c r="C9" s="51"/>
      <c r="E9" s="53">
        <v>0.4</v>
      </c>
      <c r="F9" s="2" t="s">
        <v>587</v>
      </c>
    </row>
    <row r="10" s="2" customFormat="1" spans="1:6">
      <c r="A10" s="2" t="s">
        <v>588</v>
      </c>
      <c r="B10" s="51">
        <v>2</v>
      </c>
      <c r="C10" s="51">
        <v>2</v>
      </c>
      <c r="E10" s="53">
        <v>0.41</v>
      </c>
      <c r="F10" s="2" t="s">
        <v>589</v>
      </c>
    </row>
    <row r="11" s="2" customFormat="1" spans="1:6">
      <c r="B11" s="51"/>
      <c r="C11" s="51"/>
      <c r="E11" s="51"/>
    </row>
    <row r="12" s="55" customFormat="1" ht="15" spans="1:6">
      <c r="A12" s="55" t="s">
        <v>446</v>
      </c>
      <c r="B12" s="54"/>
      <c r="C12" s="54"/>
    </row>
    <row r="13" s="2" customFormat="1" spans="1:6">
      <c r="A13" s="2" t="s">
        <v>590</v>
      </c>
      <c r="B13" s="51">
        <v>3</v>
      </c>
      <c r="C13" s="51">
        <v>3</v>
      </c>
      <c r="E13" s="53">
        <v>0.75</v>
      </c>
      <c r="F13" s="59" t="s">
        <v>591</v>
      </c>
    </row>
    <row r="14" s="2" customFormat="1" spans="1:6">
      <c r="A14" s="2" t="s">
        <v>592</v>
      </c>
      <c r="B14" s="51"/>
      <c r="C14" s="51"/>
      <c r="E14" s="51" t="s">
        <v>593</v>
      </c>
      <c r="F14" s="2" t="s">
        <v>594</v>
      </c>
    </row>
    <row r="15" s="2" customFormat="1" spans="1:6">
      <c r="A15" s="2" t="s">
        <v>595</v>
      </c>
      <c r="B15" s="51"/>
      <c r="C15" s="51"/>
      <c r="E15" s="53" t="s">
        <v>596</v>
      </c>
      <c r="F15" s="2" t="s">
        <v>597</v>
      </c>
    </row>
    <row r="16" s="2" customFormat="1" spans="1:6">
      <c r="A16" s="2" t="s">
        <v>598</v>
      </c>
      <c r="B16" s="51"/>
      <c r="C16" s="51"/>
      <c r="E16" s="53">
        <v>0.8</v>
      </c>
    </row>
    <row r="17" s="2" customFormat="1" spans="1:6">
      <c r="A17" s="2" t="s">
        <v>599</v>
      </c>
      <c r="B17" s="51"/>
      <c r="C17" s="51"/>
      <c r="E17" s="53">
        <v>0.95</v>
      </c>
      <c r="F17" s="2" t="s">
        <v>600</v>
      </c>
    </row>
    <row r="18" s="2" customFormat="1" spans="1:6">
      <c r="A18" s="2" t="s">
        <v>601</v>
      </c>
      <c r="B18" s="51"/>
      <c r="C18" s="51"/>
      <c r="E18" s="53">
        <v>0.8</v>
      </c>
      <c r="F18" s="2" t="s">
        <v>602</v>
      </c>
    </row>
    <row r="19" s="2" customFormat="1" spans="1:6">
      <c r="A19" s="2" t="s">
        <v>603</v>
      </c>
      <c r="B19" s="51"/>
      <c r="C19" s="51"/>
      <c r="E19" s="53">
        <v>1.05</v>
      </c>
      <c r="F19" s="2" t="s">
        <v>602</v>
      </c>
    </row>
    <row r="20" s="2" customFormat="1" spans="1:6">
      <c r="A20" s="2" t="s">
        <v>604</v>
      </c>
      <c r="B20" s="51"/>
      <c r="C20" s="51"/>
      <c r="E20" s="53">
        <v>1.1</v>
      </c>
      <c r="F20" s="2" t="s">
        <v>605</v>
      </c>
    </row>
    <row r="21" s="2" customFormat="1" spans="1:6">
      <c r="A21" s="2" t="s">
        <v>606</v>
      </c>
      <c r="B21" s="51"/>
      <c r="C21" s="51"/>
      <c r="E21" s="53">
        <v>1.6</v>
      </c>
      <c r="F21" s="2" t="s">
        <v>605</v>
      </c>
    </row>
    <row r="23" s="2" customFormat="1" spans="1:6">
      <c r="A23" s="61" t="s">
        <v>607</v>
      </c>
      <c r="B23" s="7" t="s">
        <v>608</v>
      </c>
      <c r="C23" s="7"/>
      <c r="D23" s="7"/>
      <c r="E23" s="7"/>
      <c r="F23" s="7"/>
    </row>
    <row r="24" s="2" customFormat="1" spans="1:6">
      <c r="A24" s="7" t="s">
        <v>588</v>
      </c>
      <c r="B24" s="35">
        <v>2</v>
      </c>
      <c r="C24" s="62">
        <f t="shared" ref="C24:C34" si="0">B24</f>
        <v>2</v>
      </c>
      <c r="D24" s="60">
        <v>0.41</v>
      </c>
      <c r="E24" s="60">
        <f t="shared" ref="E24:E34" si="1">D24+B24*4%</f>
        <v>0.49</v>
      </c>
      <c r="F24" s="26" t="s">
        <v>609</v>
      </c>
    </row>
    <row r="25" s="2" customFormat="1" spans="1:6">
      <c r="A25" s="7" t="s">
        <v>610</v>
      </c>
      <c r="B25" s="35">
        <v>2</v>
      </c>
      <c r="C25" s="62">
        <f t="shared" si="0"/>
        <v>2</v>
      </c>
      <c r="D25" s="63">
        <v>0.8</v>
      </c>
      <c r="E25" s="60">
        <f t="shared" si="1"/>
        <v>0.88</v>
      </c>
      <c r="F25" s="3" t="s">
        <v>611</v>
      </c>
    </row>
    <row r="26" s="2" customFormat="1" spans="1:6">
      <c r="A26" s="7" t="s">
        <v>590</v>
      </c>
      <c r="B26" s="35">
        <v>3</v>
      </c>
      <c r="C26" s="62">
        <f t="shared" si="0"/>
        <v>3</v>
      </c>
      <c r="D26" s="60">
        <v>0.75</v>
      </c>
      <c r="E26" s="60">
        <f t="shared" si="1"/>
        <v>0.87</v>
      </c>
      <c r="F26" s="3" t="s">
        <v>612</v>
      </c>
    </row>
    <row r="27" s="2" customFormat="1" spans="1:6">
      <c r="A27" s="7" t="s">
        <v>613</v>
      </c>
      <c r="B27" s="35">
        <v>3</v>
      </c>
      <c r="C27" s="62">
        <f t="shared" si="0"/>
        <v>3</v>
      </c>
      <c r="D27" s="60">
        <v>0.3</v>
      </c>
      <c r="E27" s="60">
        <f t="shared" si="1"/>
        <v>0.42</v>
      </c>
      <c r="F27" s="3" t="s">
        <v>579</v>
      </c>
    </row>
    <row r="28" s="2" customFormat="1" spans="1:6">
      <c r="A28" s="7" t="s">
        <v>614</v>
      </c>
      <c r="B28" s="35">
        <v>4</v>
      </c>
      <c r="C28" s="62">
        <f t="shared" si="0"/>
        <v>4</v>
      </c>
      <c r="D28" s="60">
        <v>0.65</v>
      </c>
      <c r="E28" s="60">
        <f t="shared" si="1"/>
        <v>0.81</v>
      </c>
      <c r="F28" s="3"/>
    </row>
    <row r="29" s="2" customFormat="1" spans="1:6">
      <c r="A29" s="7" t="s">
        <v>615</v>
      </c>
      <c r="B29" s="35">
        <v>1</v>
      </c>
      <c r="C29" s="62">
        <f t="shared" si="0"/>
        <v>1</v>
      </c>
      <c r="D29" s="60">
        <v>0.35</v>
      </c>
      <c r="E29" s="60">
        <f t="shared" si="1"/>
        <v>0.39</v>
      </c>
      <c r="F29" s="3" t="s">
        <v>616</v>
      </c>
    </row>
    <row r="30" s="2" customFormat="1" spans="1:6">
      <c r="A30" s="7" t="s">
        <v>617</v>
      </c>
      <c r="B30" s="35">
        <v>1</v>
      </c>
      <c r="C30" s="62">
        <f t="shared" si="0"/>
        <v>1</v>
      </c>
      <c r="D30" s="60">
        <v>0.3</v>
      </c>
      <c r="E30" s="60">
        <f t="shared" si="1"/>
        <v>0.34</v>
      </c>
      <c r="F30" s="3"/>
    </row>
    <row r="31" s="2" customFormat="1" spans="1:6">
      <c r="A31" s="3" t="s">
        <v>618</v>
      </c>
      <c r="B31" s="1">
        <v>1</v>
      </c>
      <c r="C31" s="62">
        <f t="shared" si="0"/>
        <v>1</v>
      </c>
      <c r="D31" s="64">
        <v>0.25</v>
      </c>
      <c r="E31" s="60">
        <f t="shared" si="1"/>
        <v>0.29</v>
      </c>
      <c r="F31" s="3"/>
    </row>
    <row r="32" s="2" customFormat="1" spans="1:6">
      <c r="A32" s="7" t="s">
        <v>619</v>
      </c>
      <c r="B32" s="35">
        <v>4</v>
      </c>
      <c r="C32" s="62">
        <f t="shared" si="0"/>
        <v>4</v>
      </c>
      <c r="D32" s="60">
        <v>0.1</v>
      </c>
      <c r="E32" s="60">
        <f t="shared" si="1"/>
        <v>0.26</v>
      </c>
      <c r="F32" s="26"/>
    </row>
    <row r="33" s="2" customFormat="1" spans="1:6">
      <c r="A33" s="7" t="s">
        <v>620</v>
      </c>
      <c r="B33" s="35">
        <v>5</v>
      </c>
      <c r="C33" s="62">
        <f t="shared" si="0"/>
        <v>5</v>
      </c>
      <c r="D33" s="60"/>
      <c r="E33" s="60">
        <f t="shared" si="1"/>
        <v>0.2</v>
      </c>
      <c r="F33" s="3" t="s">
        <v>21</v>
      </c>
    </row>
    <row r="34" s="2" customFormat="1" spans="1:6">
      <c r="A34" s="7" t="s">
        <v>621</v>
      </c>
      <c r="B34" s="35">
        <v>2</v>
      </c>
      <c r="C34" s="62">
        <f t="shared" si="0"/>
        <v>2</v>
      </c>
      <c r="D34" s="60">
        <v>0.1</v>
      </c>
      <c r="E34" s="60">
        <f t="shared" si="1"/>
        <v>0.18</v>
      </c>
      <c r="F34" s="3"/>
    </row>
    <row r="35" s="2" customFormat="1" spans="1:6">
      <c r="A35" s="61" t="s">
        <v>622</v>
      </c>
      <c r="B35" s="35"/>
      <c r="C35" s="62"/>
      <c r="D35" s="65"/>
      <c r="E35" s="60"/>
      <c r="F35" s="7"/>
    </row>
    <row r="36" s="2" customFormat="1" spans="1:6">
      <c r="A36" s="7" t="s">
        <v>623</v>
      </c>
      <c r="B36" s="35">
        <v>10</v>
      </c>
      <c r="C36" s="62">
        <f t="shared" ref="C36:C42" si="2">B36</f>
        <v>10</v>
      </c>
      <c r="D36" s="65">
        <v>0.65</v>
      </c>
      <c r="E36" s="60">
        <f t="shared" ref="E36:E42" si="3">D36+B36*4%</f>
        <v>1.05</v>
      </c>
      <c r="F36" s="3"/>
    </row>
    <row r="37" s="2" customFormat="1" spans="1:6">
      <c r="A37" s="7" t="s">
        <v>624</v>
      </c>
      <c r="B37" s="35">
        <v>10</v>
      </c>
      <c r="C37" s="62">
        <f t="shared" si="2"/>
        <v>10</v>
      </c>
      <c r="D37" s="60">
        <v>0.05</v>
      </c>
      <c r="E37" s="60">
        <f t="shared" si="3"/>
        <v>0.45</v>
      </c>
      <c r="F37" s="3"/>
    </row>
    <row r="38" s="2" customFormat="1" spans="1:6">
      <c r="A38" s="7" t="s">
        <v>625</v>
      </c>
      <c r="B38" s="35">
        <v>10</v>
      </c>
      <c r="C38" s="62">
        <f t="shared" si="2"/>
        <v>10</v>
      </c>
      <c r="D38" s="60">
        <v>0</v>
      </c>
      <c r="E38" s="60">
        <f t="shared" si="3"/>
        <v>0.4</v>
      </c>
      <c r="F38" s="3"/>
    </row>
    <row r="39" s="2" customFormat="1" spans="1:6">
      <c r="A39" s="7" t="s">
        <v>626</v>
      </c>
      <c r="B39" s="35">
        <v>4</v>
      </c>
      <c r="C39" s="62">
        <f t="shared" si="2"/>
        <v>4</v>
      </c>
      <c r="D39" s="60">
        <v>0.2</v>
      </c>
      <c r="E39" s="60">
        <f t="shared" si="3"/>
        <v>0.36</v>
      </c>
      <c r="F39" s="3"/>
    </row>
    <row r="40" s="2" customFormat="1" spans="1:6">
      <c r="A40" s="7" t="s">
        <v>627</v>
      </c>
      <c r="B40" s="35">
        <v>8</v>
      </c>
      <c r="C40" s="62">
        <f t="shared" si="2"/>
        <v>8</v>
      </c>
      <c r="D40" s="63">
        <v>0</v>
      </c>
      <c r="E40" s="60">
        <f t="shared" si="3"/>
        <v>0.32</v>
      </c>
      <c r="F40" s="3"/>
    </row>
    <row r="41" s="2" customFormat="1" spans="1:6">
      <c r="A41" s="7" t="s">
        <v>628</v>
      </c>
      <c r="B41" s="35">
        <v>4</v>
      </c>
      <c r="C41" s="62">
        <f t="shared" si="2"/>
        <v>4</v>
      </c>
      <c r="D41" s="60">
        <v>0.15</v>
      </c>
      <c r="E41" s="60">
        <f t="shared" si="3"/>
        <v>0.31</v>
      </c>
      <c r="F41" s="3"/>
    </row>
    <row r="42" s="2" customFormat="1" spans="1:6">
      <c r="A42" s="7" t="s">
        <v>629</v>
      </c>
      <c r="B42" s="35">
        <v>2</v>
      </c>
      <c r="C42" s="62">
        <f t="shared" si="2"/>
        <v>2</v>
      </c>
      <c r="D42" s="63">
        <v>0.15</v>
      </c>
      <c r="E42" s="60">
        <f t="shared" si="3"/>
        <v>0.23</v>
      </c>
      <c r="F42" s="3"/>
    </row>
    <row r="43" s="2" customFormat="1" spans="1:6">
      <c r="A43" s="26"/>
      <c r="B43" s="27"/>
      <c r="C43" s="27"/>
      <c r="D43" s="53"/>
      <c r="E43" s="53"/>
      <c r="F43" s="26"/>
    </row>
    <row r="44" s="2" customFormat="1" spans="1:6">
      <c r="A44" s="31" t="s">
        <v>630</v>
      </c>
      <c r="B44" s="26" t="s">
        <v>631</v>
      </c>
      <c r="C44" s="26"/>
      <c r="D44" s="26"/>
      <c r="E44" s="26"/>
      <c r="F44" s="26"/>
    </row>
    <row r="45" s="2" customFormat="1" spans="1:6">
      <c r="A45" s="7" t="s">
        <v>619</v>
      </c>
      <c r="B45" s="35">
        <v>4</v>
      </c>
      <c r="C45" s="35">
        <f t="shared" ref="C45:C47" si="4">B45-FLOOR(D45,0.1)*10</f>
        <v>3</v>
      </c>
      <c r="D45" s="60">
        <v>0.1</v>
      </c>
      <c r="E45" s="60">
        <f t="shared" ref="E45:E47" si="5">D45+C45*4%</f>
        <v>0.22</v>
      </c>
      <c r="F45" s="26"/>
    </row>
    <row r="46" s="2" customFormat="1" spans="1:6">
      <c r="A46" s="7" t="s">
        <v>620</v>
      </c>
      <c r="B46" s="35">
        <v>5</v>
      </c>
      <c r="C46" s="35">
        <f t="shared" si="4"/>
        <v>5</v>
      </c>
      <c r="D46" s="60"/>
      <c r="E46" s="60">
        <f t="shared" si="5"/>
        <v>0.2</v>
      </c>
      <c r="F46" s="3" t="s">
        <v>21</v>
      </c>
    </row>
    <row r="47" s="2" customFormat="1" spans="1:6">
      <c r="A47" s="7" t="s">
        <v>621</v>
      </c>
      <c r="B47" s="35">
        <v>2</v>
      </c>
      <c r="C47" s="35">
        <f t="shared" si="4"/>
        <v>1</v>
      </c>
      <c r="D47" s="60">
        <v>0.1</v>
      </c>
      <c r="E47" s="60">
        <f t="shared" si="5"/>
        <v>0.14</v>
      </c>
      <c r="F47" s="3"/>
    </row>
    <row r="48" s="2" customFormat="1" spans="1:6">
      <c r="A48" s="31" t="s">
        <v>622</v>
      </c>
      <c r="B48" s="27"/>
      <c r="C48" s="27"/>
      <c r="D48" s="53"/>
      <c r="E48" s="53"/>
      <c r="F48" s="26"/>
    </row>
    <row r="49" s="2" customFormat="1" spans="1:6">
      <c r="A49" s="7" t="s">
        <v>624</v>
      </c>
      <c r="B49" s="35">
        <v>10</v>
      </c>
      <c r="C49" s="35">
        <f t="shared" ref="C49:C56" si="6">B49-FLOOR(D49,0.1)*10</f>
        <v>10</v>
      </c>
      <c r="D49" s="60">
        <v>0.05</v>
      </c>
      <c r="E49" s="60">
        <f t="shared" ref="E49:E56" si="7">D49+C49*4%</f>
        <v>0.45</v>
      </c>
      <c r="F49" s="3"/>
    </row>
    <row r="50" s="2" customFormat="1" spans="1:6">
      <c r="A50" s="26" t="s">
        <v>632</v>
      </c>
      <c r="B50" s="27">
        <v>10</v>
      </c>
      <c r="C50" s="35">
        <f t="shared" si="6"/>
        <v>8</v>
      </c>
      <c r="D50" s="53">
        <v>0.25</v>
      </c>
      <c r="E50" s="60">
        <f>D50+C50*8%</f>
        <v>0.89</v>
      </c>
      <c r="F50" s="3"/>
    </row>
    <row r="51" s="2" customFormat="1" spans="1:6">
      <c r="A51" s="26" t="s">
        <v>633</v>
      </c>
      <c r="B51" s="27">
        <f>4-6+12</f>
        <v>10</v>
      </c>
      <c r="C51" s="35">
        <f t="shared" si="6"/>
        <v>4</v>
      </c>
      <c r="D51" s="53">
        <f>20%+25%-30%+50%</f>
        <v>0.65</v>
      </c>
      <c r="E51" s="60">
        <f t="shared" si="7"/>
        <v>0.81</v>
      </c>
      <c r="F51" s="3"/>
    </row>
    <row r="52" s="2" customFormat="1" spans="1:6">
      <c r="A52" s="7" t="s">
        <v>625</v>
      </c>
      <c r="B52" s="35">
        <v>10</v>
      </c>
      <c r="C52" s="35">
        <f t="shared" si="6"/>
        <v>10</v>
      </c>
      <c r="D52" s="60">
        <v>0</v>
      </c>
      <c r="E52" s="60">
        <f t="shared" si="7"/>
        <v>0.4</v>
      </c>
      <c r="F52" s="3"/>
    </row>
    <row r="53" s="2" customFormat="1" spans="1:6">
      <c r="A53" s="7" t="s">
        <v>627</v>
      </c>
      <c r="B53" s="35">
        <v>8</v>
      </c>
      <c r="C53" s="35">
        <f t="shared" si="6"/>
        <v>8</v>
      </c>
      <c r="D53" s="63">
        <v>0</v>
      </c>
      <c r="E53" s="60">
        <f t="shared" si="7"/>
        <v>0.32</v>
      </c>
      <c r="F53" s="3"/>
    </row>
    <row r="54" s="2" customFormat="1" spans="1:6">
      <c r="A54" s="7" t="s">
        <v>626</v>
      </c>
      <c r="B54" s="35">
        <v>4</v>
      </c>
      <c r="C54" s="35">
        <f t="shared" si="6"/>
        <v>2</v>
      </c>
      <c r="D54" s="60">
        <v>0.2</v>
      </c>
      <c r="E54" s="60">
        <f t="shared" si="7"/>
        <v>0.28</v>
      </c>
      <c r="F54" s="3"/>
    </row>
    <row r="55" s="2" customFormat="1" spans="1:6">
      <c r="A55" s="7" t="s">
        <v>628</v>
      </c>
      <c r="B55" s="35">
        <v>4</v>
      </c>
      <c r="C55" s="35">
        <f t="shared" si="6"/>
        <v>3</v>
      </c>
      <c r="D55" s="60">
        <v>0.15</v>
      </c>
      <c r="E55" s="60">
        <f t="shared" si="7"/>
        <v>0.27</v>
      </c>
      <c r="F55" s="26"/>
    </row>
    <row r="56" s="2" customFormat="1" spans="1:6">
      <c r="A56" s="7" t="s">
        <v>629</v>
      </c>
      <c r="B56" s="35">
        <v>2</v>
      </c>
      <c r="C56" s="35">
        <f t="shared" si="6"/>
        <v>1</v>
      </c>
      <c r="D56" s="63">
        <v>0.15</v>
      </c>
      <c r="E56" s="60">
        <f t="shared" si="7"/>
        <v>0.19</v>
      </c>
      <c r="F56" s="26"/>
    </row>
    <row r="58" spans="1:6">
      <c r="A58" s="55" t="s">
        <v>85</v>
      </c>
      <c r="B58" s="54"/>
      <c r="C58" s="54"/>
      <c r="D58" s="55"/>
      <c r="F58" s="55" t="s">
        <v>634</v>
      </c>
    </row>
    <row r="59" spans="1:6">
      <c r="A59" s="2" t="s">
        <v>635</v>
      </c>
      <c r="E59" s="53">
        <v>0.07</v>
      </c>
      <c r="F59" s="2" t="s">
        <v>636</v>
      </c>
    </row>
    <row r="60" spans="1:6">
      <c r="A60" s="2" t="s">
        <v>637</v>
      </c>
      <c r="E60" s="53">
        <v>0.07</v>
      </c>
      <c r="F60" s="2" t="s">
        <v>638</v>
      </c>
    </row>
    <row r="61" spans="1:6">
      <c r="A61" s="2" t="s">
        <v>639</v>
      </c>
      <c r="E61" s="53">
        <v>0.07</v>
      </c>
    </row>
    <row r="62" spans="1:6">
      <c r="A62" s="2" t="s">
        <v>640</v>
      </c>
      <c r="E62" s="53">
        <v>0.07</v>
      </c>
      <c r="F62" s="2" t="s">
        <v>641</v>
      </c>
    </row>
    <row r="63" spans="1:6">
      <c r="A63" s="2" t="s">
        <v>642</v>
      </c>
      <c r="E63" s="53">
        <v>0.07</v>
      </c>
    </row>
    <row r="64" spans="1:6">
      <c r="A64" s="2" t="s">
        <v>643</v>
      </c>
      <c r="E64" s="53">
        <v>0.07</v>
      </c>
    </row>
    <row r="65" spans="1:5">
      <c r="A65" s="2" t="s">
        <v>87</v>
      </c>
      <c r="E65" s="53">
        <v>0.07</v>
      </c>
    </row>
  </sheetData>
  <mergeCells count="2">
    <mergeCell ref="B23:F23"/>
    <mergeCell ref="B44:F4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zoomScale="115" zoomScaleNormal="115" topLeftCell="A11" workbookViewId="0">
      <selection activeCell="B9" sqref="B9"/>
    </sheetView>
  </sheetViews>
  <sheetFormatPr defaultColWidth="8" defaultRowHeight="16.5" outlineLevelCol="2"/>
  <cols>
    <col min="1" max="1" width="31.1111111111111" style="2" customWidth="1"/>
    <col min="2" max="2" width="9.44444444444444" style="53" customWidth="1"/>
    <col min="3" max="3" width="41.2222222222222" style="2" customWidth="1"/>
    <col min="4" max="16384" width="8" style="51"/>
  </cols>
  <sheetData>
    <row r="1" s="51" customFormat="1" spans="1:3">
      <c r="A1" s="51" t="s">
        <v>644</v>
      </c>
      <c r="B1" s="53" t="s">
        <v>7</v>
      </c>
      <c r="C1" s="51" t="s">
        <v>645</v>
      </c>
    </row>
    <row r="2" s="51" customFormat="1" spans="1:3">
      <c r="A2" s="54" t="s">
        <v>646</v>
      </c>
      <c r="B2" s="53"/>
      <c r="C2" s="2"/>
    </row>
    <row r="3" s="51" customFormat="1" spans="1:3">
      <c r="A3" s="2" t="s">
        <v>647</v>
      </c>
      <c r="B3" s="53" t="s">
        <v>648</v>
      </c>
      <c r="C3" s="2" t="s">
        <v>649</v>
      </c>
    </row>
    <row r="4" s="51" customFormat="1" spans="1:3">
      <c r="A4" s="2" t="s">
        <v>650</v>
      </c>
      <c r="B4" s="53">
        <v>0.4</v>
      </c>
      <c r="C4" s="2" t="s">
        <v>651</v>
      </c>
    </row>
    <row r="5" s="51" customFormat="1" spans="1:3">
      <c r="A5" s="2" t="s">
        <v>57</v>
      </c>
      <c r="B5" s="53" t="s">
        <v>652</v>
      </c>
      <c r="C5" s="2" t="s">
        <v>653</v>
      </c>
    </row>
    <row r="6" s="51" customFormat="1" spans="1:3">
      <c r="A6" s="2" t="s">
        <v>654</v>
      </c>
      <c r="B6" s="53" t="s">
        <v>655</v>
      </c>
      <c r="C6" s="2" t="s">
        <v>656</v>
      </c>
    </row>
    <row r="7" s="51" customFormat="1" spans="1:3">
      <c r="A7" s="2" t="s">
        <v>60</v>
      </c>
      <c r="B7" s="53">
        <v>0.35</v>
      </c>
      <c r="C7" s="2" t="s">
        <v>657</v>
      </c>
    </row>
    <row r="8" s="51" customFormat="1" spans="1:3">
      <c r="A8" s="2"/>
      <c r="B8" s="53"/>
      <c r="C8" s="2"/>
    </row>
    <row r="9" s="51" customFormat="1" spans="1:3">
      <c r="A9" s="54" t="s">
        <v>658</v>
      </c>
      <c r="B9" s="53"/>
      <c r="C9" s="2"/>
    </row>
    <row r="10" s="51" customFormat="1" spans="1:3">
      <c r="A10" s="2" t="s">
        <v>659</v>
      </c>
      <c r="B10" s="53" t="s">
        <v>660</v>
      </c>
      <c r="C10" s="2" t="s">
        <v>661</v>
      </c>
    </row>
    <row r="11" s="51" customFormat="1" spans="1:3">
      <c r="A11" s="2" t="s">
        <v>662</v>
      </c>
      <c r="B11" s="53" t="s">
        <v>663</v>
      </c>
      <c r="C11" s="2" t="s">
        <v>661</v>
      </c>
    </row>
    <row r="12" s="51" customFormat="1" spans="1:3">
      <c r="A12" s="2" t="s">
        <v>664</v>
      </c>
      <c r="B12" s="53" t="s">
        <v>665</v>
      </c>
      <c r="C12" s="2" t="s">
        <v>661</v>
      </c>
    </row>
    <row r="13" s="51" customFormat="1" spans="1:3">
      <c r="A13" s="2" t="s">
        <v>666</v>
      </c>
      <c r="B13" s="53">
        <v>0.3</v>
      </c>
      <c r="C13" s="2" t="s">
        <v>667</v>
      </c>
    </row>
    <row r="14" s="51" customFormat="1" spans="1:3">
      <c r="A14" s="2" t="s">
        <v>668</v>
      </c>
      <c r="B14" s="53" t="s">
        <v>652</v>
      </c>
      <c r="C14" s="2" t="s">
        <v>669</v>
      </c>
    </row>
    <row r="15" s="52" customFormat="1" spans="1:3">
      <c r="A15" s="2"/>
      <c r="B15" s="53"/>
      <c r="C15" s="2"/>
    </row>
    <row r="16" s="51" customFormat="1" spans="1:3">
      <c r="A16" s="2" t="s">
        <v>670</v>
      </c>
      <c r="B16" s="53" t="s">
        <v>71</v>
      </c>
      <c r="C16" s="2" t="s">
        <v>671</v>
      </c>
    </row>
    <row r="17" s="51" customFormat="1" spans="1:3">
      <c r="A17" s="2" t="s">
        <v>662</v>
      </c>
      <c r="B17" s="53" t="s">
        <v>85</v>
      </c>
      <c r="C17" s="2" t="s">
        <v>672</v>
      </c>
    </row>
    <row r="18" s="51" customFormat="1" spans="1:3">
      <c r="A18" s="2"/>
      <c r="B18" s="53"/>
      <c r="C18" s="2"/>
    </row>
    <row r="19" s="51" customFormat="1" spans="1:3">
      <c r="A19" s="54" t="s">
        <v>673</v>
      </c>
      <c r="B19" s="53"/>
      <c r="C19" s="2"/>
    </row>
    <row r="20" s="51" customFormat="1" spans="1:3">
      <c r="A20" s="2" t="s">
        <v>674</v>
      </c>
      <c r="B20" s="53">
        <v>0.35</v>
      </c>
      <c r="C20" s="55" t="s">
        <v>675</v>
      </c>
    </row>
    <row r="21" s="51" customFormat="1" spans="1:3">
      <c r="A21" s="2" t="s">
        <v>654</v>
      </c>
      <c r="B21" s="53" t="s">
        <v>655</v>
      </c>
      <c r="C21" s="2" t="s">
        <v>676</v>
      </c>
    </row>
    <row r="22" s="51" customFormat="1" spans="1:3">
      <c r="A22" s="2" t="s">
        <v>196</v>
      </c>
      <c r="B22" s="53">
        <v>0.35</v>
      </c>
      <c r="C22" s="2" t="s">
        <v>677</v>
      </c>
    </row>
    <row r="23" s="51" customFormat="1" spans="1:3">
      <c r="A23" s="2" t="s">
        <v>678</v>
      </c>
      <c r="B23" s="53">
        <v>0.3</v>
      </c>
      <c r="C23" s="2"/>
    </row>
    <row r="24" s="51" customFormat="1" spans="1:3">
      <c r="A24" s="2" t="s">
        <v>679</v>
      </c>
      <c r="B24" s="53">
        <f>30%+45%</f>
        <v>0.75</v>
      </c>
      <c r="C24" s="2" t="s">
        <v>680</v>
      </c>
    </row>
    <row r="25" s="51" customFormat="1" spans="1:3">
      <c r="A25" s="2"/>
      <c r="B25" s="53"/>
      <c r="C25" s="2"/>
    </row>
    <row r="26" s="51" customFormat="1" spans="1:3">
      <c r="A26" s="54" t="s">
        <v>681</v>
      </c>
      <c r="B26" s="53"/>
      <c r="C26" s="2"/>
    </row>
    <row r="27" s="51" customFormat="1" spans="1:3">
      <c r="A27" s="2" t="s">
        <v>682</v>
      </c>
      <c r="B27" s="53" t="s">
        <v>683</v>
      </c>
      <c r="C27" s="2" t="s">
        <v>684</v>
      </c>
    </row>
    <row r="28" s="51" customFormat="1" spans="1:3">
      <c r="A28" s="2" t="s">
        <v>685</v>
      </c>
      <c r="B28" s="53">
        <v>0.35</v>
      </c>
      <c r="C28" s="2" t="s">
        <v>21</v>
      </c>
    </row>
    <row r="29" s="51" customFormat="1" spans="1:3">
      <c r="A29" s="2" t="s">
        <v>686</v>
      </c>
      <c r="B29" s="53">
        <v>0.35</v>
      </c>
      <c r="C29" s="2"/>
    </row>
    <row r="30" s="51" customFormat="1" spans="1:3">
      <c r="A30" s="2" t="s">
        <v>687</v>
      </c>
      <c r="B30" s="53">
        <v>0.35</v>
      </c>
      <c r="C30" s="2" t="s">
        <v>688</v>
      </c>
    </row>
    <row r="31" s="52" customFormat="1" spans="1:3">
      <c r="A31" s="2"/>
      <c r="B31" s="53"/>
      <c r="C31" s="2"/>
    </row>
    <row r="32" s="51" customFormat="1" spans="1:3">
      <c r="A32" s="54" t="s">
        <v>689</v>
      </c>
      <c r="B32" s="53"/>
      <c r="C32" s="2"/>
    </row>
    <row r="33" s="51" customFormat="1" spans="1:3">
      <c r="A33" s="2" t="s">
        <v>690</v>
      </c>
      <c r="B33" s="53">
        <v>0.25</v>
      </c>
      <c r="C33" s="2" t="s">
        <v>691</v>
      </c>
    </row>
    <row r="34" s="51" customFormat="1" spans="1:3">
      <c r="A34" s="2" t="s">
        <v>692</v>
      </c>
      <c r="B34" s="53">
        <v>0.25</v>
      </c>
      <c r="C34" s="2"/>
    </row>
    <row r="36" s="51" customFormat="1" spans="1:3">
      <c r="A36" s="2" t="s">
        <v>693</v>
      </c>
      <c r="B36" s="53" t="s">
        <v>85</v>
      </c>
      <c r="C36" s="56" t="s">
        <v>694</v>
      </c>
    </row>
    <row r="37" s="51" customFormat="1" spans="1:3">
      <c r="A37" s="2" t="s">
        <v>695</v>
      </c>
      <c r="B37" s="53" t="s">
        <v>85</v>
      </c>
      <c r="C37" s="56" t="s">
        <v>696</v>
      </c>
    </row>
    <row r="39" s="2" customFormat="1" spans="1:3">
      <c r="A39" s="54" t="s">
        <v>697</v>
      </c>
      <c r="B39" s="57"/>
    </row>
    <row r="40" s="51" customFormat="1" spans="1:3">
      <c r="A40" s="2" t="s">
        <v>698</v>
      </c>
      <c r="B40" s="53">
        <v>0.4</v>
      </c>
      <c r="C40" s="2" t="s">
        <v>699</v>
      </c>
    </row>
    <row r="41" s="51" customFormat="1" spans="1:3">
      <c r="A41" s="2" t="s">
        <v>700</v>
      </c>
      <c r="B41" s="53">
        <v>0.4</v>
      </c>
      <c r="C41" s="2" t="s">
        <v>701</v>
      </c>
    </row>
    <row r="42" s="51" customFormat="1" spans="1:3">
      <c r="A42" s="2" t="s">
        <v>702</v>
      </c>
      <c r="B42" s="53">
        <v>0.35</v>
      </c>
      <c r="C42" s="2" t="s">
        <v>616</v>
      </c>
    </row>
    <row r="43" s="51" customFormat="1" spans="1:3">
      <c r="A43" s="2"/>
      <c r="B43" s="53"/>
      <c r="C43" s="2"/>
    </row>
    <row r="44" s="51" customFormat="1" spans="1:3">
      <c r="A44" s="54" t="s">
        <v>703</v>
      </c>
      <c r="B44" s="53"/>
      <c r="C44" s="2"/>
    </row>
    <row r="45" s="51" customFormat="1" spans="1:3">
      <c r="A45" s="2" t="s">
        <v>704</v>
      </c>
      <c r="B45" s="53">
        <v>0.3</v>
      </c>
      <c r="C45" s="55" t="s">
        <v>675</v>
      </c>
    </row>
    <row r="46" s="51" customFormat="1" spans="1:3">
      <c r="A46" s="2" t="s">
        <v>705</v>
      </c>
      <c r="B46" s="53">
        <v>0.25</v>
      </c>
      <c r="C46" s="2" t="s">
        <v>706</v>
      </c>
    </row>
    <row r="47" s="51" customFormat="1" spans="1:3">
      <c r="A47" s="2" t="s">
        <v>707</v>
      </c>
      <c r="B47" s="53">
        <v>0.4</v>
      </c>
      <c r="C47" s="2" t="s">
        <v>708</v>
      </c>
    </row>
    <row r="48" s="51" customFormat="1" spans="1:3">
      <c r="A48" s="2" t="s">
        <v>709</v>
      </c>
      <c r="B48" s="53">
        <v>0.3</v>
      </c>
      <c r="C48" s="2"/>
    </row>
    <row r="49" s="51" customFormat="1" spans="1:3">
      <c r="A49" s="2" t="s">
        <v>710</v>
      </c>
      <c r="B49" s="53">
        <v>0.25</v>
      </c>
      <c r="C49" s="2"/>
    </row>
    <row r="51" s="51" customFormat="1" spans="1:3">
      <c r="A51" s="54" t="s">
        <v>711</v>
      </c>
      <c r="B51" s="53"/>
      <c r="C51" s="2"/>
    </row>
    <row r="52" s="51" customFormat="1" spans="1:3">
      <c r="A52" s="2" t="s">
        <v>712</v>
      </c>
      <c r="B52" s="53">
        <v>0.3</v>
      </c>
      <c r="C52" s="55" t="s">
        <v>675</v>
      </c>
    </row>
    <row r="53" s="51" customFormat="1" spans="1:3">
      <c r="A53" s="2" t="s">
        <v>713</v>
      </c>
      <c r="B53" s="53">
        <v>0.25</v>
      </c>
      <c r="C53" s="2" t="s">
        <v>714</v>
      </c>
    </row>
    <row r="54" s="51" customFormat="1" spans="1:3">
      <c r="A54" s="2" t="s">
        <v>715</v>
      </c>
      <c r="B54" s="53">
        <v>0.25</v>
      </c>
      <c r="C54" s="2" t="s">
        <v>716</v>
      </c>
    </row>
    <row r="55" s="51" customFormat="1" spans="1:3">
      <c r="A55" s="2" t="s">
        <v>717</v>
      </c>
      <c r="B55" s="53">
        <v>0.25</v>
      </c>
      <c r="C55" s="2"/>
    </row>
    <row r="56" s="51" customFormat="1" spans="1:3">
      <c r="A56" s="2" t="s">
        <v>718</v>
      </c>
      <c r="B56" s="53">
        <v>0.15</v>
      </c>
      <c r="C56" s="2"/>
    </row>
    <row r="58" s="51" customFormat="1" spans="1:3">
      <c r="A58" s="54" t="s">
        <v>719</v>
      </c>
      <c r="B58" s="53"/>
      <c r="C58" s="58"/>
    </row>
    <row r="59" s="51" customFormat="1" spans="1:3">
      <c r="A59" s="2" t="s">
        <v>720</v>
      </c>
      <c r="B59" s="53">
        <v>0.31</v>
      </c>
      <c r="C59" s="2" t="s">
        <v>721</v>
      </c>
    </row>
    <row r="60" s="51" customFormat="1" spans="1:3">
      <c r="A60" s="2" t="s">
        <v>715</v>
      </c>
      <c r="B60" s="53">
        <v>0.25</v>
      </c>
      <c r="C60" s="2" t="s">
        <v>722</v>
      </c>
    </row>
    <row r="62" s="51" customFormat="1" spans="1:3">
      <c r="A62" s="2" t="s">
        <v>723</v>
      </c>
      <c r="B62" s="53" t="s">
        <v>85</v>
      </c>
      <c r="C62" s="56" t="s">
        <v>724</v>
      </c>
    </row>
    <row r="64" s="51" customFormat="1" spans="1:3">
      <c r="A64" s="54" t="s">
        <v>725</v>
      </c>
      <c r="B64" s="53"/>
      <c r="C64" s="2"/>
    </row>
    <row r="65" s="51" customFormat="1" spans="1:3">
      <c r="A65" s="2" t="s">
        <v>726</v>
      </c>
      <c r="B65" s="53">
        <v>0.75</v>
      </c>
      <c r="C65" s="2" t="s">
        <v>727</v>
      </c>
    </row>
    <row r="66" s="51" customFormat="1" ht="49.5" spans="1:3">
      <c r="A66" s="59" t="s">
        <v>728</v>
      </c>
      <c r="B66" s="53">
        <v>0.4</v>
      </c>
      <c r="C66" s="59" t="s">
        <v>729</v>
      </c>
    </row>
    <row r="68" s="51" customFormat="1" spans="1:3">
      <c r="A68" s="54" t="s">
        <v>730</v>
      </c>
      <c r="B68" s="53"/>
      <c r="C68" s="2"/>
    </row>
    <row r="69" s="51" customFormat="1" spans="1:3">
      <c r="A69" s="2" t="s">
        <v>731</v>
      </c>
      <c r="B69" s="53">
        <v>0.45</v>
      </c>
      <c r="C69" s="2" t="s">
        <v>722</v>
      </c>
    </row>
    <row r="70" s="51" customFormat="1" spans="1:3">
      <c r="A70" s="2" t="s">
        <v>732</v>
      </c>
      <c r="B70" s="53">
        <v>0.35</v>
      </c>
      <c r="C70" s="2"/>
    </row>
    <row r="71" s="51" customFormat="1" spans="1:3">
      <c r="A71" s="2" t="s">
        <v>733</v>
      </c>
      <c r="B71" s="53">
        <v>0.3</v>
      </c>
      <c r="C71" s="2"/>
    </row>
    <row r="73" s="51" customFormat="1" spans="1:3">
      <c r="A73" s="54" t="s">
        <v>85</v>
      </c>
      <c r="B73" s="51"/>
      <c r="C73" s="55" t="s">
        <v>734</v>
      </c>
    </row>
    <row r="74" s="51" customFormat="1" spans="1:3">
      <c r="A74" s="2" t="s">
        <v>735</v>
      </c>
      <c r="B74" s="53">
        <v>0.03</v>
      </c>
      <c r="C74" s="2" t="s">
        <v>736</v>
      </c>
    </row>
    <row r="75" s="51" customFormat="1" spans="1:3">
      <c r="A75" s="2" t="s">
        <v>635</v>
      </c>
      <c r="B75" s="53">
        <v>0.02</v>
      </c>
      <c r="C75" s="2" t="s">
        <v>737</v>
      </c>
    </row>
    <row r="76" s="51" customFormat="1" spans="1:3">
      <c r="A76" s="2" t="s">
        <v>738</v>
      </c>
      <c r="B76" s="53">
        <v>0.02</v>
      </c>
      <c r="C76" s="2"/>
    </row>
    <row r="77" s="51" customFormat="1" spans="1:3">
      <c r="A77" s="2" t="s">
        <v>739</v>
      </c>
      <c r="B77" s="53">
        <v>0.02</v>
      </c>
      <c r="C77" s="2" t="s">
        <v>740</v>
      </c>
    </row>
    <row r="78" s="51" customFormat="1" spans="1:3">
      <c r="A78" s="2" t="s">
        <v>89</v>
      </c>
      <c r="B78" s="53">
        <v>0.02</v>
      </c>
      <c r="C78" s="2" t="s">
        <v>741</v>
      </c>
    </row>
    <row r="79" s="51" customFormat="1" spans="1:3">
      <c r="A79" s="2" t="s">
        <v>742</v>
      </c>
      <c r="B79" s="53">
        <v>0.04</v>
      </c>
      <c r="C79" s="2" t="s">
        <v>743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115" zoomScaleNormal="115" workbookViewId="0">
      <pane ySplit="2" topLeftCell="A3" activePane="bottomLeft" state="frozen"/>
      <selection/>
      <selection pane="bottomLeft" activeCell="P50" sqref="P50"/>
    </sheetView>
  </sheetViews>
  <sheetFormatPr defaultColWidth="8" defaultRowHeight="16.5"/>
  <cols>
    <col min="1" max="1" width="21.4444444444444" style="3" customWidth="1"/>
    <col min="2" max="2" width="4.55555555555556" style="1" customWidth="1"/>
    <col min="3" max="4" width="7.88888888888889" style="4" customWidth="1"/>
    <col min="5" max="5" width="7.88888888888889" style="1" customWidth="1"/>
    <col min="6" max="11" width="7.88888888888889" style="4" customWidth="1"/>
    <col min="12" max="12" width="7.88888888888889" style="1" customWidth="1"/>
    <col min="13" max="13" width="6.22222222222222" style="1" customWidth="1"/>
    <col min="14" max="14" width="29.6666666666667" style="3" customWidth="1"/>
    <col min="15" max="16384" width="8" style="1"/>
  </cols>
  <sheetData>
    <row r="1" s="1" customFormat="1" spans="1:14">
      <c r="F1" s="1">
        <v>12</v>
      </c>
      <c r="G1" s="1">
        <v>18</v>
      </c>
      <c r="H1" s="1">
        <v>24</v>
      </c>
      <c r="I1" s="1">
        <f>24/0.75</f>
        <v>32</v>
      </c>
      <c r="J1" s="5">
        <f>24/0.7</f>
        <v>34.2857142857143</v>
      </c>
      <c r="K1" s="5">
        <f>24/0.65</f>
        <v>36.9230769230769</v>
      </c>
      <c r="L1" s="4" t="s">
        <v>744</v>
      </c>
    </row>
    <row r="2" s="1" customFormat="1" spans="1:14">
      <c r="A2" s="1" t="s">
        <v>8</v>
      </c>
      <c r="B2" s="1" t="s">
        <v>745</v>
      </c>
      <c r="C2" s="4" t="s">
        <v>746</v>
      </c>
      <c r="D2" s="4" t="s">
        <v>747</v>
      </c>
      <c r="E2" s="1" t="s">
        <v>748</v>
      </c>
      <c r="F2" s="4" t="s">
        <v>749</v>
      </c>
      <c r="G2" s="4" t="s">
        <v>749</v>
      </c>
      <c r="H2" s="4" t="s">
        <v>749</v>
      </c>
      <c r="I2" s="4" t="s">
        <v>749</v>
      </c>
      <c r="J2" s="4" t="s">
        <v>749</v>
      </c>
      <c r="K2" s="4" t="s">
        <v>749</v>
      </c>
      <c r="L2" s="1" t="s">
        <v>750</v>
      </c>
      <c r="M2" s="1" t="s">
        <v>350</v>
      </c>
      <c r="N2" s="1" t="s">
        <v>107</v>
      </c>
    </row>
    <row r="3" s="2" customFormat="1" spans="1:14">
      <c r="A3" s="6" t="s">
        <v>751</v>
      </c>
      <c r="B3" s="7" t="s">
        <v>752</v>
      </c>
      <c r="C3" s="7"/>
      <c r="D3" s="7"/>
      <c r="E3" s="7"/>
      <c r="F3" s="7"/>
      <c r="G3" s="7"/>
      <c r="H3" s="7"/>
      <c r="I3" s="7"/>
      <c r="J3" s="7"/>
      <c r="K3" s="7"/>
      <c r="L3" s="7"/>
      <c r="M3" s="7"/>
      <c r="N3" s="7"/>
    </row>
    <row r="4" s="1" customFormat="1" spans="1:14">
      <c r="A4" s="3" t="s">
        <v>52</v>
      </c>
      <c r="B4" s="1">
        <v>8</v>
      </c>
      <c r="C4" s="4"/>
      <c r="D4" s="4"/>
      <c r="F4" s="4">
        <f t="shared" ref="F4:F24" si="0">IF(ISNUMBER($E4),(($C4+$D4-($D4-$C4)/$E4)*$E4/2+$D4*(F$1-$E4))/F$1+$B4*2%,$C4+$B4*2%)</f>
        <v>0.16</v>
      </c>
      <c r="G4" s="4">
        <f t="shared" ref="G4:G24" si="1">IF(ISNUMBER($E4),(($C4+$D4-($D4-$C4)/$E4)*$E4/2+$D4*(G$1-$E4))/G$1+$B4*2%,$C4+$B4*2%)</f>
        <v>0.16</v>
      </c>
      <c r="H4" s="4">
        <f t="shared" ref="H4:K4" si="2">IF(ISNUMBER($E4),(($C4+$D4-($D4-$C4)/$E4)*$E4/2+$D4*(H$1-$E4))/H$1+$B4*2%,$C4+$B4*2%)</f>
        <v>0.16</v>
      </c>
      <c r="I4" s="4">
        <f t="shared" si="2"/>
        <v>0.16</v>
      </c>
      <c r="J4" s="4">
        <f t="shared" si="2"/>
        <v>0.16</v>
      </c>
      <c r="K4" s="4">
        <f t="shared" si="2"/>
        <v>0.16</v>
      </c>
      <c r="M4" s="8">
        <v>-0.25</v>
      </c>
      <c r="N4" s="9" t="s">
        <v>753</v>
      </c>
    </row>
    <row r="5" s="1" customFormat="1" spans="1:14">
      <c r="A5" s="10" t="s">
        <v>754</v>
      </c>
      <c r="B5" s="11">
        <v>12</v>
      </c>
      <c r="C5" s="12">
        <v>0.15</v>
      </c>
      <c r="D5" s="12">
        <v>0.25</v>
      </c>
      <c r="E5" s="13">
        <v>5</v>
      </c>
      <c r="F5" s="12">
        <f t="shared" si="0"/>
        <v>0.465</v>
      </c>
      <c r="G5" s="12">
        <f t="shared" si="1"/>
        <v>0.473333333333333</v>
      </c>
      <c r="H5" s="12">
        <f t="shared" ref="H5:K5" si="3">IF(ISNUMBER($E5),(($C5+$D5-($D5-$C5)/$E5)*$E5/2+$D5*(H$1-$E5))/H$1+$B5*2%,$C5+$B5*2%)</f>
        <v>0.4775</v>
      </c>
      <c r="I5" s="12">
        <f t="shared" si="3"/>
        <v>0.480625</v>
      </c>
      <c r="J5" s="12">
        <f t="shared" si="3"/>
        <v>0.48125</v>
      </c>
      <c r="K5" s="12">
        <f t="shared" si="3"/>
        <v>0.481875</v>
      </c>
      <c r="L5" s="13" t="s">
        <v>755</v>
      </c>
      <c r="M5" s="13"/>
      <c r="N5" s="10" t="s">
        <v>756</v>
      </c>
    </row>
    <row r="6" s="1" customFormat="1" spans="1:14">
      <c r="A6" s="10" t="s">
        <v>757</v>
      </c>
      <c r="B6" s="11">
        <v>10</v>
      </c>
      <c r="C6" s="12">
        <v>0.65</v>
      </c>
      <c r="D6" s="12"/>
      <c r="E6" s="13"/>
      <c r="F6" s="12">
        <f t="shared" si="0"/>
        <v>0.85</v>
      </c>
      <c r="G6" s="12">
        <f t="shared" si="1"/>
        <v>0.85</v>
      </c>
      <c r="H6" s="12">
        <f t="shared" ref="H6:K6" si="4">IF(ISNUMBER($E6),(($C6+$D6-($D6-$C6)/$E6)*$E6/2+$D6*(H$1-$E6))/H$1+$B6*2%,$C6+$B6*2%)</f>
        <v>0.85</v>
      </c>
      <c r="I6" s="12">
        <f t="shared" si="4"/>
        <v>0.85</v>
      </c>
      <c r="J6" s="12">
        <f t="shared" si="4"/>
        <v>0.85</v>
      </c>
      <c r="K6" s="12">
        <f t="shared" si="4"/>
        <v>0.85</v>
      </c>
      <c r="L6" s="13" t="s">
        <v>755</v>
      </c>
      <c r="M6" s="14">
        <v>-0.25</v>
      </c>
      <c r="N6" s="10"/>
    </row>
    <row r="7" s="1" customFormat="1" spans="1:14">
      <c r="A7" s="15" t="s">
        <v>758</v>
      </c>
      <c r="B7" s="16">
        <v>10</v>
      </c>
      <c r="C7" s="17">
        <v>0.65</v>
      </c>
      <c r="D7" s="17"/>
      <c r="E7" s="16"/>
      <c r="F7" s="18">
        <f t="shared" si="0"/>
        <v>0.85</v>
      </c>
      <c r="G7" s="18">
        <f t="shared" si="1"/>
        <v>0.85</v>
      </c>
      <c r="H7" s="18">
        <f t="shared" ref="H7:K7" si="5">IF(ISNUMBER($E7),(($C7+$D7-($D7-$C7)/$E7)*$E7/2+$D7*(H$1-$E7))/H$1+$B7*2%,$C7+$B7*2%)</f>
        <v>0.85</v>
      </c>
      <c r="I7" s="18">
        <f t="shared" si="5"/>
        <v>0.85</v>
      </c>
      <c r="J7" s="18">
        <f t="shared" si="5"/>
        <v>0.85</v>
      </c>
      <c r="K7" s="18">
        <f t="shared" si="5"/>
        <v>0.85</v>
      </c>
      <c r="L7" s="16" t="s">
        <v>759</v>
      </c>
      <c r="M7" s="19"/>
      <c r="N7" s="20" t="s">
        <v>708</v>
      </c>
    </row>
    <row r="8" s="1" customFormat="1" spans="1:14">
      <c r="A8" s="10" t="s">
        <v>760</v>
      </c>
      <c r="B8" s="11">
        <v>8</v>
      </c>
      <c r="C8" s="12">
        <v>0.25</v>
      </c>
      <c r="D8" s="12"/>
      <c r="E8" s="13"/>
      <c r="F8" s="12">
        <f t="shared" si="0"/>
        <v>0.41</v>
      </c>
      <c r="G8" s="12">
        <f t="shared" si="1"/>
        <v>0.41</v>
      </c>
      <c r="H8" s="12">
        <f t="shared" ref="H8:K8" si="6">IF(ISNUMBER($E8),(($C8+$D8-($D8-$C8)/$E8)*$E8/2+$D8*(H$1-$E8))/H$1+$B8*2%,$C8+$B8*2%)</f>
        <v>0.41</v>
      </c>
      <c r="I8" s="12">
        <f t="shared" si="6"/>
        <v>0.41</v>
      </c>
      <c r="J8" s="12">
        <f t="shared" si="6"/>
        <v>0.41</v>
      </c>
      <c r="K8" s="12">
        <f t="shared" si="6"/>
        <v>0.41</v>
      </c>
      <c r="L8" s="13" t="s">
        <v>755</v>
      </c>
      <c r="M8" s="14">
        <v>-0.25</v>
      </c>
      <c r="N8" s="10"/>
    </row>
    <row r="9" s="1" customFormat="1" spans="1:14">
      <c r="A9" s="3" t="s">
        <v>761</v>
      </c>
      <c r="B9" s="1">
        <v>8</v>
      </c>
      <c r="C9" s="4">
        <v>0.2</v>
      </c>
      <c r="D9" s="4">
        <v>0.25</v>
      </c>
      <c r="E9" s="1">
        <v>5</v>
      </c>
      <c r="F9" s="4">
        <f t="shared" si="0"/>
        <v>0.3975</v>
      </c>
      <c r="G9" s="4">
        <f t="shared" si="1"/>
        <v>0.401666666666667</v>
      </c>
      <c r="H9" s="4">
        <f t="shared" ref="H9:K9" si="7">IF(ISNUMBER($E9),(($C9+$D9-($D9-$C9)/$E9)*$E9/2+$D9*(H$1-$E9))/H$1+$B9*2%,$C9+$B9*2%)</f>
        <v>0.40375</v>
      </c>
      <c r="I9" s="4">
        <f t="shared" si="7"/>
        <v>0.4053125</v>
      </c>
      <c r="J9" s="4">
        <f t="shared" si="7"/>
        <v>0.405625</v>
      </c>
      <c r="K9" s="4">
        <f t="shared" si="7"/>
        <v>0.4059375</v>
      </c>
      <c r="M9" s="8">
        <v>-0.25</v>
      </c>
      <c r="N9" s="3" t="s">
        <v>756</v>
      </c>
    </row>
    <row r="10" s="1" customFormat="1" spans="1:14">
      <c r="A10" s="21" t="s">
        <v>762</v>
      </c>
      <c r="B10" s="22">
        <v>10</v>
      </c>
      <c r="C10" s="23">
        <v>0.6</v>
      </c>
      <c r="D10" s="23"/>
      <c r="E10" s="22"/>
      <c r="F10" s="4">
        <f t="shared" si="0"/>
        <v>0.8</v>
      </c>
      <c r="G10" s="4">
        <f t="shared" si="1"/>
        <v>0.8</v>
      </c>
      <c r="H10" s="4">
        <f t="shared" ref="H10:K10" si="8">IF(ISNUMBER($E10),(($C10+$D10-($D10-$C10)/$E10)*$E10/2+$D10*(H$1-$E10))/H$1+$B10*2%,$C10+$B10*2%)</f>
        <v>0.8</v>
      </c>
      <c r="I10" s="4">
        <f t="shared" si="8"/>
        <v>0.8</v>
      </c>
      <c r="J10" s="4">
        <f t="shared" si="8"/>
        <v>0.8</v>
      </c>
      <c r="K10" s="4">
        <f t="shared" si="8"/>
        <v>0.8</v>
      </c>
      <c r="L10" s="22"/>
      <c r="N10" s="3"/>
    </row>
    <row r="11" s="1" customFormat="1" spans="1:14">
      <c r="A11" s="20" t="s">
        <v>763</v>
      </c>
      <c r="B11" s="19">
        <v>10</v>
      </c>
      <c r="C11" s="18">
        <v>0.2</v>
      </c>
      <c r="D11" s="18"/>
      <c r="E11" s="19"/>
      <c r="F11" s="18">
        <f t="shared" si="0"/>
        <v>0.4</v>
      </c>
      <c r="G11" s="18">
        <f t="shared" si="1"/>
        <v>0.4</v>
      </c>
      <c r="H11" s="18">
        <f t="shared" ref="H11:K11" si="9">IF(ISNUMBER($E11),(($C11+$D11-($D11-$C11)/$E11)*$E11/2+$D11*(H$1-$E11))/H$1+$B11*2%,$C11+$B11*2%)</f>
        <v>0.4</v>
      </c>
      <c r="I11" s="18">
        <f t="shared" si="9"/>
        <v>0.4</v>
      </c>
      <c r="J11" s="18">
        <f t="shared" si="9"/>
        <v>0.4</v>
      </c>
      <c r="K11" s="18">
        <f t="shared" si="9"/>
        <v>0.4</v>
      </c>
      <c r="L11" s="19" t="s">
        <v>759</v>
      </c>
      <c r="M11" s="24">
        <v>-0.25</v>
      </c>
      <c r="N11" s="20" t="s">
        <v>764</v>
      </c>
    </row>
    <row r="12" s="1" customFormat="1" spans="1:14">
      <c r="A12" s="10" t="s">
        <v>765</v>
      </c>
      <c r="B12" s="13">
        <v>4</v>
      </c>
      <c r="C12" s="12">
        <v>0.3</v>
      </c>
      <c r="D12" s="12"/>
      <c r="E12" s="13"/>
      <c r="F12" s="12">
        <f t="shared" si="0"/>
        <v>0.38</v>
      </c>
      <c r="G12" s="12">
        <f t="shared" si="1"/>
        <v>0.38</v>
      </c>
      <c r="H12" s="12">
        <f t="shared" ref="H12:K12" si="10">IF(ISNUMBER($E12),(($C12+$D12-($D12-$C12)/$E12)*$E12/2+$D12*(H$1-$E12))/H$1+$B12*2%,$C12+$B12*2%)</f>
        <v>0.38</v>
      </c>
      <c r="I12" s="12">
        <f t="shared" si="10"/>
        <v>0.38</v>
      </c>
      <c r="J12" s="12">
        <f t="shared" si="10"/>
        <v>0.38</v>
      </c>
      <c r="K12" s="12">
        <f t="shared" si="10"/>
        <v>0.38</v>
      </c>
      <c r="L12" s="13" t="s">
        <v>755</v>
      </c>
      <c r="M12" s="13"/>
      <c r="N12" s="10"/>
    </row>
    <row r="13" s="1" customFormat="1" spans="1:14">
      <c r="A13" s="3" t="s">
        <v>766</v>
      </c>
      <c r="B13" s="1">
        <v>6</v>
      </c>
      <c r="C13" s="4">
        <v>0.25</v>
      </c>
      <c r="D13" s="4"/>
      <c r="F13" s="4">
        <f t="shared" si="0"/>
        <v>0.37</v>
      </c>
      <c r="G13" s="4">
        <f t="shared" si="1"/>
        <v>0.37</v>
      </c>
      <c r="H13" s="4">
        <f t="shared" ref="H13:K13" si="11">IF(ISNUMBER($E13),(($C13+$D13-($D13-$C13)/$E13)*$E13/2+$D13*(H$1-$E13))/H$1+$B13*2%,$C13+$B13*2%)</f>
        <v>0.37</v>
      </c>
      <c r="I13" s="4">
        <f t="shared" si="11"/>
        <v>0.37</v>
      </c>
      <c r="J13" s="4">
        <f t="shared" si="11"/>
        <v>0.37</v>
      </c>
      <c r="K13" s="4">
        <f t="shared" si="11"/>
        <v>0.37</v>
      </c>
      <c r="M13" s="25">
        <v>0.25</v>
      </c>
      <c r="N13" s="3"/>
    </row>
    <row r="14" s="1" customFormat="1" spans="1:14">
      <c r="A14" s="3" t="s">
        <v>767</v>
      </c>
      <c r="B14" s="1">
        <v>8</v>
      </c>
      <c r="C14" s="4">
        <v>0.2</v>
      </c>
      <c r="D14" s="4"/>
      <c r="F14" s="4">
        <f t="shared" si="0"/>
        <v>0.36</v>
      </c>
      <c r="G14" s="4">
        <f t="shared" si="1"/>
        <v>0.36</v>
      </c>
      <c r="H14" s="4">
        <f t="shared" ref="H14:K14" si="12">IF(ISNUMBER($E14),(($C14+$D14-($D14-$C14)/$E14)*$E14/2+$D14*(H$1-$E14))/H$1+$B14*2%,$C14+$B14*2%)</f>
        <v>0.36</v>
      </c>
      <c r="I14" s="4">
        <f t="shared" si="12"/>
        <v>0.36</v>
      </c>
      <c r="J14" s="4">
        <f t="shared" si="12"/>
        <v>0.36</v>
      </c>
      <c r="K14" s="4">
        <f t="shared" si="12"/>
        <v>0.36</v>
      </c>
      <c r="M14" s="8">
        <v>-0.25</v>
      </c>
      <c r="N14" s="3"/>
    </row>
    <row r="15" s="1" customFormat="1" spans="1:14">
      <c r="A15" s="3" t="s">
        <v>768</v>
      </c>
      <c r="B15" s="1">
        <v>10</v>
      </c>
      <c r="C15" s="4">
        <v>0.15</v>
      </c>
      <c r="D15" s="4"/>
      <c r="F15" s="4">
        <f t="shared" si="0"/>
        <v>0.35</v>
      </c>
      <c r="G15" s="4">
        <f t="shared" si="1"/>
        <v>0.35</v>
      </c>
      <c r="H15" s="4">
        <f t="shared" ref="H15:K15" si="13">IF(ISNUMBER($E15),(($C15+$D15-($D15-$C15)/$E15)*$E15/2+$D15*(H$1-$E15))/H$1+$B15*2%,$C15+$B15*2%)</f>
        <v>0.35</v>
      </c>
      <c r="I15" s="4">
        <f t="shared" si="13"/>
        <v>0.35</v>
      </c>
      <c r="J15" s="4">
        <f t="shared" si="13"/>
        <v>0.35</v>
      </c>
      <c r="K15" s="4">
        <f t="shared" si="13"/>
        <v>0.35</v>
      </c>
      <c r="M15" s="8">
        <v>-0.25</v>
      </c>
      <c r="N15" s="3"/>
    </row>
    <row r="16" s="1" customFormat="1" spans="1:14">
      <c r="A16" s="3" t="s">
        <v>769</v>
      </c>
      <c r="B16" s="1">
        <v>19</v>
      </c>
      <c r="C16" s="4">
        <v>-0.05</v>
      </c>
      <c r="D16" s="4"/>
      <c r="F16" s="4">
        <f t="shared" si="0"/>
        <v>0.33</v>
      </c>
      <c r="G16" s="4">
        <f t="shared" si="1"/>
        <v>0.33</v>
      </c>
      <c r="H16" s="4">
        <f t="shared" ref="H16:K16" si="14">IF(ISNUMBER($E16),(($C16+$D16-($D16-$C16)/$E16)*$E16/2+$D16*(H$1-$E16))/H$1+$B16*2%,$C16+$B16*2%)</f>
        <v>0.33</v>
      </c>
      <c r="I16" s="4">
        <f t="shared" si="14"/>
        <v>0.33</v>
      </c>
      <c r="J16" s="4">
        <f t="shared" si="14"/>
        <v>0.33</v>
      </c>
      <c r="K16" s="4">
        <f t="shared" si="14"/>
        <v>0.33</v>
      </c>
      <c r="M16" s="8">
        <v>-0.25</v>
      </c>
      <c r="N16" s="3"/>
    </row>
    <row r="17" s="1" customFormat="1" spans="1:14">
      <c r="A17" s="3" t="s">
        <v>770</v>
      </c>
      <c r="B17" s="1">
        <v>4</v>
      </c>
      <c r="C17" s="4">
        <v>0.25</v>
      </c>
      <c r="D17" s="4"/>
      <c r="F17" s="4">
        <f t="shared" si="0"/>
        <v>0.33</v>
      </c>
      <c r="G17" s="4">
        <f t="shared" si="1"/>
        <v>0.33</v>
      </c>
      <c r="H17" s="4">
        <f t="shared" ref="H17:K17" si="15">IF(ISNUMBER($E17),(($C17+$D17-($D17-$C17)/$E17)*$E17/2+$D17*(H$1-$E17))/H$1+$B17*2%,$C17+$B17*2%)</f>
        <v>0.33</v>
      </c>
      <c r="I17" s="4">
        <f t="shared" si="15"/>
        <v>0.33</v>
      </c>
      <c r="J17" s="4">
        <f t="shared" si="15"/>
        <v>0.33</v>
      </c>
      <c r="K17" s="4">
        <f t="shared" si="15"/>
        <v>0.33</v>
      </c>
      <c r="N17" s="3"/>
    </row>
    <row r="18" s="1" customFormat="1" spans="1:14">
      <c r="A18" s="3" t="s">
        <v>771</v>
      </c>
      <c r="B18" s="1">
        <v>8</v>
      </c>
      <c r="C18" s="4">
        <v>0.17</v>
      </c>
      <c r="D18" s="4"/>
      <c r="F18" s="4">
        <f t="shared" si="0"/>
        <v>0.33</v>
      </c>
      <c r="G18" s="4">
        <f t="shared" si="1"/>
        <v>0.33</v>
      </c>
      <c r="H18" s="4">
        <f t="shared" ref="H18:K18" si="16">IF(ISNUMBER($E18),(($C18+$D18-($D18-$C18)/$E18)*$E18/2+$D18*(H$1-$E18))/H$1+$B18*2%,$C18+$B18*2%)</f>
        <v>0.33</v>
      </c>
      <c r="I18" s="4">
        <f t="shared" si="16"/>
        <v>0.33</v>
      </c>
      <c r="J18" s="4">
        <f t="shared" si="16"/>
        <v>0.33</v>
      </c>
      <c r="K18" s="4">
        <f t="shared" si="16"/>
        <v>0.33</v>
      </c>
      <c r="N18" s="2" t="s">
        <v>609</v>
      </c>
    </row>
    <row r="19" s="1" customFormat="1" spans="1:14">
      <c r="A19" s="3" t="s">
        <v>772</v>
      </c>
      <c r="B19" s="1">
        <v>8</v>
      </c>
      <c r="C19" s="4">
        <v>0.15</v>
      </c>
      <c r="D19" s="4"/>
      <c r="F19" s="4">
        <f t="shared" si="0"/>
        <v>0.31</v>
      </c>
      <c r="G19" s="4">
        <f t="shared" si="1"/>
        <v>0.31</v>
      </c>
      <c r="H19" s="4">
        <f t="shared" ref="H19:K19" si="17">IF(ISNUMBER($E19),(($C19+$D19-($D19-$C19)/$E19)*$E19/2+$D19*(H$1-$E19))/H$1+$B19*2%,$C19+$B19*2%)</f>
        <v>0.31</v>
      </c>
      <c r="I19" s="4">
        <f t="shared" si="17"/>
        <v>0.31</v>
      </c>
      <c r="J19" s="4">
        <f t="shared" si="17"/>
        <v>0.31</v>
      </c>
      <c r="K19" s="4">
        <f t="shared" si="17"/>
        <v>0.31</v>
      </c>
      <c r="M19" s="8">
        <v>-0.25</v>
      </c>
      <c r="N19" s="3"/>
    </row>
    <row r="20" s="1" customFormat="1" spans="1:14">
      <c r="A20" s="3" t="s">
        <v>773</v>
      </c>
      <c r="B20" s="1">
        <v>10</v>
      </c>
      <c r="C20" s="4">
        <v>0.1</v>
      </c>
      <c r="D20" s="4"/>
      <c r="F20" s="4">
        <f t="shared" si="0"/>
        <v>0.3</v>
      </c>
      <c r="G20" s="4">
        <f t="shared" si="1"/>
        <v>0.3</v>
      </c>
      <c r="H20" s="4">
        <f t="shared" ref="H20:K20" si="18">IF(ISNUMBER($E20),(($C20+$D20-($D20-$C20)/$E20)*$E20/2+$D20*(H$1-$E20))/H$1+$B20*2%,$C20+$B20*2%)</f>
        <v>0.3</v>
      </c>
      <c r="I20" s="4">
        <f t="shared" si="18"/>
        <v>0.3</v>
      </c>
      <c r="J20" s="4">
        <f t="shared" si="18"/>
        <v>0.3</v>
      </c>
      <c r="K20" s="4">
        <f t="shared" si="18"/>
        <v>0.3</v>
      </c>
      <c r="N20" s="3"/>
    </row>
    <row r="21" s="1" customFormat="1" spans="1:14">
      <c r="A21" s="10" t="s">
        <v>774</v>
      </c>
      <c r="B21" s="13">
        <v>15</v>
      </c>
      <c r="C21" s="12"/>
      <c r="D21" s="12"/>
      <c r="E21" s="13"/>
      <c r="F21" s="12">
        <f t="shared" si="0"/>
        <v>0.3</v>
      </c>
      <c r="G21" s="12">
        <f t="shared" si="1"/>
        <v>0.3</v>
      </c>
      <c r="H21" s="12">
        <f t="shared" ref="H21:K21" si="19">IF(ISNUMBER($E21),(($C21+$D21-($D21-$C21)/$E21)*$E21/2+$D21*(H$1-$E21))/H$1+$B21*2%,$C21+$B21*2%)</f>
        <v>0.3</v>
      </c>
      <c r="I21" s="12">
        <f t="shared" si="19"/>
        <v>0.3</v>
      </c>
      <c r="J21" s="12">
        <f t="shared" si="19"/>
        <v>0.3</v>
      </c>
      <c r="K21" s="12">
        <f t="shared" si="19"/>
        <v>0.3</v>
      </c>
      <c r="L21" s="13" t="s">
        <v>755</v>
      </c>
      <c r="M21" s="14">
        <v>-0.25</v>
      </c>
      <c r="N21" s="10"/>
    </row>
    <row r="22" s="1" customFormat="1" spans="1:14">
      <c r="A22" s="26" t="s">
        <v>775</v>
      </c>
      <c r="B22" s="27">
        <v>6</v>
      </c>
      <c r="C22" s="28">
        <v>0.1</v>
      </c>
      <c r="D22" s="28"/>
      <c r="E22" s="27"/>
      <c r="F22" s="4">
        <f t="shared" si="0"/>
        <v>0.22</v>
      </c>
      <c r="G22" s="4">
        <f t="shared" si="1"/>
        <v>0.22</v>
      </c>
      <c r="H22" s="4">
        <f t="shared" ref="H22:K22" si="20">IF(ISNUMBER($E22),(($C22+$D22-($D22-$C22)/$E22)*$E22/2+$D22*(H$1-$E22))/H$1+$B22*2%,$C22+$B22*2%)</f>
        <v>0.22</v>
      </c>
      <c r="I22" s="4">
        <f t="shared" si="20"/>
        <v>0.22</v>
      </c>
      <c r="J22" s="4">
        <f t="shared" si="20"/>
        <v>0.22</v>
      </c>
      <c r="K22" s="4">
        <f t="shared" si="20"/>
        <v>0.22</v>
      </c>
      <c r="L22" s="27"/>
      <c r="M22" s="8">
        <v>-0.25</v>
      </c>
      <c r="N22" s="3"/>
    </row>
    <row r="23" s="1" customFormat="1" spans="1:14">
      <c r="A23" s="26" t="s">
        <v>776</v>
      </c>
      <c r="B23" s="27">
        <v>8</v>
      </c>
      <c r="C23" s="28"/>
      <c r="D23" s="28"/>
      <c r="E23" s="27"/>
      <c r="F23" s="4">
        <f t="shared" si="0"/>
        <v>0.16</v>
      </c>
      <c r="G23" s="4">
        <f t="shared" si="1"/>
        <v>0.16</v>
      </c>
      <c r="H23" s="4">
        <f t="shared" ref="H23:K23" si="21">IF(ISNUMBER($E23),(($C23+$D23-($D23-$C23)/$E23)*$E23/2+$D23*(H$1-$E23))/H$1+$B23*2%,$C23+$B23*2%)</f>
        <v>0.16</v>
      </c>
      <c r="I23" s="4">
        <f t="shared" si="21"/>
        <v>0.16</v>
      </c>
      <c r="J23" s="4">
        <f t="shared" si="21"/>
        <v>0.16</v>
      </c>
      <c r="K23" s="4">
        <f t="shared" si="21"/>
        <v>0.16</v>
      </c>
      <c r="L23" s="27"/>
      <c r="M23" s="8">
        <v>-0.25</v>
      </c>
      <c r="N23" s="3"/>
    </row>
    <row r="24" s="1" customFormat="1" spans="1:14">
      <c r="A24" s="26" t="s">
        <v>93</v>
      </c>
      <c r="B24" s="27">
        <v>17</v>
      </c>
      <c r="C24" s="28">
        <v>-0.2</v>
      </c>
      <c r="D24" s="28"/>
      <c r="E24" s="27"/>
      <c r="F24" s="4">
        <f t="shared" si="0"/>
        <v>0.14</v>
      </c>
      <c r="G24" s="4">
        <f t="shared" si="1"/>
        <v>0.14</v>
      </c>
      <c r="H24" s="4">
        <f t="shared" ref="H24:K24" si="22">IF(ISNUMBER($E24),(($C24+$D24-($D24-$C24)/$E24)*$E24/2+$D24*(H$1-$E24))/H$1+$B24*2%,$C24+$B24*2%)</f>
        <v>0.14</v>
      </c>
      <c r="I24" s="4">
        <f t="shared" si="22"/>
        <v>0.14</v>
      </c>
      <c r="J24" s="4">
        <f t="shared" si="22"/>
        <v>0.14</v>
      </c>
      <c r="K24" s="4">
        <f t="shared" si="22"/>
        <v>0.14</v>
      </c>
      <c r="L24" s="27"/>
      <c r="M24" s="8">
        <v>-0.25</v>
      </c>
      <c r="N24" s="3"/>
    </row>
    <row r="25" s="1" customFormat="1" spans="1:14">
      <c r="A25" s="26"/>
      <c r="B25" s="27"/>
      <c r="C25" s="28"/>
      <c r="D25" s="28"/>
      <c r="E25" s="27"/>
      <c r="F25" s="4"/>
      <c r="G25" s="4"/>
      <c r="H25" s="4"/>
      <c r="I25" s="4"/>
      <c r="J25" s="4"/>
      <c r="K25" s="4"/>
      <c r="M25" s="8"/>
      <c r="N25" s="3"/>
    </row>
    <row r="26" s="1" customFormat="1" spans="1:14">
      <c r="A26" s="6" t="s">
        <v>777</v>
      </c>
      <c r="B26" s="7" t="s">
        <v>752</v>
      </c>
      <c r="C26" s="7"/>
      <c r="D26" s="7"/>
      <c r="E26" s="7"/>
      <c r="F26" s="7"/>
      <c r="G26" s="7"/>
      <c r="H26" s="7"/>
      <c r="I26" s="7"/>
      <c r="J26" s="7"/>
      <c r="K26" s="7"/>
      <c r="L26" s="7"/>
      <c r="M26" s="7"/>
      <c r="N26" s="7"/>
    </row>
    <row r="27" s="1" customFormat="1" spans="1:14">
      <c r="A27" s="26" t="s">
        <v>54</v>
      </c>
      <c r="B27" s="27">
        <v>10</v>
      </c>
      <c r="C27" s="28"/>
      <c r="D27" s="28"/>
      <c r="F27" s="29">
        <f t="shared" ref="F27:F47" si="23">IF(ISNUMBER($E27),IF($B27&gt;16,(($C27+$D27-($D27-$C27)/$E27)*$E27/2+$D27*(F$1-$E27))/F$1+$B27*3%,(($C27+$D27-($D27-$C27)/$E27)*$E27/2+$D27*(F$1-$E27))/F$1+$B27*1%),IF($B27&gt;16,$C27+$B27*3%,$C27+$B27*1%))</f>
        <v>0.1</v>
      </c>
      <c r="G27" s="29">
        <f t="shared" ref="G27:G47" si="24">IF(ISNUMBER($E27),IF($B27&gt;16,(($C27+$D27-($D27-$C27)/$E27)*$E27/2+$D27*(G$1-$E27))/G$1+$B27*3%,(($C27+$D27-($D27-$C27)/$E27)*$E27/2+$D27*(G$1-$E27))/G$1+$B27*1%),IF($B27&gt;16,$C27+$B27*3%,$C27+$B27*1%))</f>
        <v>0.1</v>
      </c>
      <c r="H27" s="29">
        <f t="shared" ref="H27:K27" si="25">IF(ISNUMBER($E27),IF($B27&gt;16,(($C27+$D27-($D27-$C27)/$E27)*$E27/2+$D27*(H$1-$E27))/H$1+$B27*3%,(($C27+$D27-($D27-$C27)/$E27)*$E27/2+$D27*(H$1-$E27))/H$1+$B27*1%),IF($B27&gt;16,$C27+$B27*3%,$C27+$B27*1%))</f>
        <v>0.1</v>
      </c>
      <c r="I27" s="29">
        <f t="shared" si="25"/>
        <v>0.1</v>
      </c>
      <c r="J27" s="29">
        <f t="shared" si="25"/>
        <v>0.1</v>
      </c>
      <c r="K27" s="29">
        <f t="shared" si="25"/>
        <v>0.1</v>
      </c>
      <c r="L27" s="27"/>
      <c r="M27" s="30">
        <v>-0.25</v>
      </c>
      <c r="N27" s="31" t="s">
        <v>753</v>
      </c>
    </row>
    <row r="28" s="1" customFormat="1" spans="1:14">
      <c r="A28" s="3" t="s">
        <v>769</v>
      </c>
      <c r="B28" s="1">
        <v>19</v>
      </c>
      <c r="C28" s="4">
        <v>-0.05</v>
      </c>
      <c r="D28" s="4"/>
      <c r="F28" s="29">
        <f t="shared" si="23"/>
        <v>0.52</v>
      </c>
      <c r="G28" s="29">
        <f t="shared" si="24"/>
        <v>0.52</v>
      </c>
      <c r="H28" s="29">
        <f t="shared" ref="H28:K28" si="26">IF(ISNUMBER($E28),IF($B28&gt;16,(($C28+$D28-($D28-$C28)/$E28)*$E28/2+$D28*(H$1-$E28))/H$1+$B28*3%,(($C28+$D28-($D28-$C28)/$E28)*$E28/2+$D28*(H$1-$E28))/H$1+$B28*1%),IF($B28&gt;16,$C28+$B28*3%,$C28+$B28*1%))</f>
        <v>0.52</v>
      </c>
      <c r="I28" s="29">
        <f t="shared" si="26"/>
        <v>0.52</v>
      </c>
      <c r="J28" s="29">
        <f t="shared" si="26"/>
        <v>0.52</v>
      </c>
      <c r="K28" s="29">
        <f t="shared" si="26"/>
        <v>0.52</v>
      </c>
      <c r="M28" s="8">
        <v>-0.25</v>
      </c>
      <c r="N28" s="3"/>
    </row>
    <row r="29" s="1" customFormat="1" spans="1:14">
      <c r="A29" s="10" t="s">
        <v>757</v>
      </c>
      <c r="B29" s="11">
        <v>10</v>
      </c>
      <c r="C29" s="12">
        <v>0.65</v>
      </c>
      <c r="D29" s="12"/>
      <c r="E29" s="13"/>
      <c r="F29" s="32">
        <f t="shared" si="23"/>
        <v>0.75</v>
      </c>
      <c r="G29" s="32">
        <f t="shared" si="24"/>
        <v>0.75</v>
      </c>
      <c r="H29" s="32">
        <f t="shared" ref="H29:K29" si="27">IF(ISNUMBER($E29),IF($B29&gt;16,(($C29+$D29-($D29-$C29)/$E29)*$E29/2+$D29*(H$1-$E29))/H$1+$B29*3%,(($C29+$D29-($D29-$C29)/$E29)*$E29/2+$D29*(H$1-$E29))/H$1+$B29*1%),IF($B29&gt;16,$C29+$B29*3%,$C29+$B29*1%))</f>
        <v>0.75</v>
      </c>
      <c r="I29" s="32">
        <f t="shared" si="27"/>
        <v>0.75</v>
      </c>
      <c r="J29" s="32">
        <f t="shared" si="27"/>
        <v>0.75</v>
      </c>
      <c r="K29" s="32">
        <f t="shared" si="27"/>
        <v>0.75</v>
      </c>
      <c r="L29" s="13" t="s">
        <v>755</v>
      </c>
      <c r="M29" s="14">
        <v>-0.25</v>
      </c>
      <c r="N29" s="10"/>
    </row>
    <row r="30" s="1" customFormat="1" spans="1:14">
      <c r="A30" s="15" t="s">
        <v>758</v>
      </c>
      <c r="B30" s="16">
        <v>10</v>
      </c>
      <c r="C30" s="17">
        <v>0.65</v>
      </c>
      <c r="D30" s="17"/>
      <c r="E30" s="16"/>
      <c r="F30" s="33">
        <f t="shared" si="23"/>
        <v>0.75</v>
      </c>
      <c r="G30" s="33">
        <f t="shared" si="24"/>
        <v>0.75</v>
      </c>
      <c r="H30" s="33">
        <f t="shared" ref="H30:K30" si="28">IF(ISNUMBER($E30),IF($B30&gt;16,(($C30+$D30-($D30-$C30)/$E30)*$E30/2+$D30*(H$1-$E30))/H$1+$B30*3%,(($C30+$D30-($D30-$C30)/$E30)*$E30/2+$D30*(H$1-$E30))/H$1+$B30*1%),IF($B30&gt;16,$C30+$B30*3%,$C30+$B30*1%))</f>
        <v>0.75</v>
      </c>
      <c r="I30" s="33">
        <f t="shared" si="28"/>
        <v>0.75</v>
      </c>
      <c r="J30" s="33">
        <f t="shared" si="28"/>
        <v>0.75</v>
      </c>
      <c r="K30" s="33">
        <f t="shared" si="28"/>
        <v>0.75</v>
      </c>
      <c r="L30" s="16" t="s">
        <v>759</v>
      </c>
      <c r="M30" s="19"/>
      <c r="N30" s="20" t="s">
        <v>708</v>
      </c>
    </row>
    <row r="31" s="1" customFormat="1" spans="1:14">
      <c r="A31" s="10" t="s">
        <v>754</v>
      </c>
      <c r="B31" s="11">
        <v>12</v>
      </c>
      <c r="C31" s="12">
        <v>0.15</v>
      </c>
      <c r="D31" s="12">
        <v>0.25</v>
      </c>
      <c r="E31" s="13">
        <v>5</v>
      </c>
      <c r="F31" s="32">
        <f t="shared" si="23"/>
        <v>0.345</v>
      </c>
      <c r="G31" s="32">
        <f t="shared" si="24"/>
        <v>0.353333333333333</v>
      </c>
      <c r="H31" s="32">
        <f t="shared" ref="H31:K31" si="29">IF(ISNUMBER($E31),IF($B31&gt;16,(($C31+$D31-($D31-$C31)/$E31)*$E31/2+$D31*(H$1-$E31))/H$1+$B31*3%,(($C31+$D31-($D31-$C31)/$E31)*$E31/2+$D31*(H$1-$E31))/H$1+$B31*1%),IF($B31&gt;16,$C31+$B31*3%,$C31+$B31*1%))</f>
        <v>0.3575</v>
      </c>
      <c r="I31" s="32">
        <f t="shared" si="29"/>
        <v>0.360625</v>
      </c>
      <c r="J31" s="32">
        <f t="shared" si="29"/>
        <v>0.36125</v>
      </c>
      <c r="K31" s="32">
        <f t="shared" si="29"/>
        <v>0.361875</v>
      </c>
      <c r="L31" s="13" t="s">
        <v>755</v>
      </c>
      <c r="M31" s="13"/>
      <c r="N31" s="10" t="s">
        <v>756</v>
      </c>
    </row>
    <row r="32" s="1" customFormat="1" spans="1:14">
      <c r="A32" s="21" t="s">
        <v>762</v>
      </c>
      <c r="B32" s="22">
        <v>10</v>
      </c>
      <c r="C32" s="23">
        <v>0.6</v>
      </c>
      <c r="D32" s="23"/>
      <c r="E32" s="22"/>
      <c r="F32" s="29">
        <f t="shared" si="23"/>
        <v>0.7</v>
      </c>
      <c r="G32" s="29">
        <f t="shared" si="24"/>
        <v>0.7</v>
      </c>
      <c r="H32" s="29">
        <f t="shared" ref="H32:K32" si="30">IF(ISNUMBER($E32),IF($B32&gt;16,(($C32+$D32-($D32-$C32)/$E32)*$E32/2+$D32*(H$1-$E32))/H$1+$B32*3%,(($C32+$D32-($D32-$C32)/$E32)*$E32/2+$D32*(H$1-$E32))/H$1+$B32*1%),IF($B32&gt;16,$C32+$B32*3%,$C32+$B32*1%))</f>
        <v>0.7</v>
      </c>
      <c r="I32" s="29">
        <f t="shared" si="30"/>
        <v>0.7</v>
      </c>
      <c r="J32" s="29">
        <f t="shared" si="30"/>
        <v>0.7</v>
      </c>
      <c r="K32" s="29">
        <f t="shared" si="30"/>
        <v>0.7</v>
      </c>
      <c r="L32" s="22"/>
      <c r="N32" s="3"/>
    </row>
    <row r="33" s="1" customFormat="1" spans="1:14">
      <c r="A33" s="10" t="s">
        <v>765</v>
      </c>
      <c r="B33" s="13">
        <v>4</v>
      </c>
      <c r="C33" s="12">
        <v>0.3</v>
      </c>
      <c r="D33" s="12"/>
      <c r="E33" s="13"/>
      <c r="F33" s="32">
        <f t="shared" si="23"/>
        <v>0.34</v>
      </c>
      <c r="G33" s="32">
        <f t="shared" si="24"/>
        <v>0.34</v>
      </c>
      <c r="H33" s="32">
        <f t="shared" ref="H33:K33" si="31">IF(ISNUMBER($E33),IF($B33&gt;16,(($C33+$D33-($D33-$C33)/$E33)*$E33/2+$D33*(H$1-$E33))/H$1+$B33*3%,(($C33+$D33-($D33-$C33)/$E33)*$E33/2+$D33*(H$1-$E33))/H$1+$B33*1%),IF($B33&gt;16,$C33+$B33*3%,$C33+$B33*1%))</f>
        <v>0.34</v>
      </c>
      <c r="I33" s="32">
        <f t="shared" si="31"/>
        <v>0.34</v>
      </c>
      <c r="J33" s="32">
        <f t="shared" si="31"/>
        <v>0.34</v>
      </c>
      <c r="K33" s="32">
        <f t="shared" si="31"/>
        <v>0.34</v>
      </c>
      <c r="L33" s="13" t="s">
        <v>755</v>
      </c>
      <c r="M33" s="13"/>
      <c r="N33" s="10"/>
    </row>
    <row r="34" s="1" customFormat="1" spans="1:14">
      <c r="A34" s="10" t="s">
        <v>760</v>
      </c>
      <c r="B34" s="11">
        <v>8</v>
      </c>
      <c r="C34" s="12">
        <v>0.25</v>
      </c>
      <c r="D34" s="12"/>
      <c r="E34" s="13"/>
      <c r="F34" s="32">
        <f t="shared" si="23"/>
        <v>0.33</v>
      </c>
      <c r="G34" s="32">
        <f t="shared" si="24"/>
        <v>0.33</v>
      </c>
      <c r="H34" s="32">
        <f t="shared" ref="H34:K34" si="32">IF(ISNUMBER($E34),IF($B34&gt;16,(($C34+$D34-($D34-$C34)/$E34)*$E34/2+$D34*(H$1-$E34))/H$1+$B34*3%,(($C34+$D34-($D34-$C34)/$E34)*$E34/2+$D34*(H$1-$E34))/H$1+$B34*1%),IF($B34&gt;16,$C34+$B34*3%,$C34+$B34*1%))</f>
        <v>0.33</v>
      </c>
      <c r="I34" s="32">
        <f t="shared" si="32"/>
        <v>0.33</v>
      </c>
      <c r="J34" s="32">
        <f t="shared" si="32"/>
        <v>0.33</v>
      </c>
      <c r="K34" s="32">
        <f t="shared" si="32"/>
        <v>0.33</v>
      </c>
      <c r="L34" s="13" t="s">
        <v>755</v>
      </c>
      <c r="M34" s="14">
        <v>-0.25</v>
      </c>
      <c r="N34" s="10"/>
    </row>
    <row r="35" s="1" customFormat="1" spans="1:14">
      <c r="A35" s="3" t="s">
        <v>761</v>
      </c>
      <c r="B35" s="1">
        <v>8</v>
      </c>
      <c r="C35" s="4">
        <v>0.2</v>
      </c>
      <c r="D35" s="4">
        <v>0.25</v>
      </c>
      <c r="E35" s="1">
        <v>5</v>
      </c>
      <c r="F35" s="29">
        <f t="shared" si="23"/>
        <v>0.3175</v>
      </c>
      <c r="G35" s="29">
        <f t="shared" si="24"/>
        <v>0.321666666666667</v>
      </c>
      <c r="H35" s="29">
        <f t="shared" ref="H35:K35" si="33">IF(ISNUMBER($E35),IF($B35&gt;16,(($C35+$D35-($D35-$C35)/$E35)*$E35/2+$D35*(H$1-$E35))/H$1+$B35*3%,(($C35+$D35-($D35-$C35)/$E35)*$E35/2+$D35*(H$1-$E35))/H$1+$B35*1%),IF($B35&gt;16,$C35+$B35*3%,$C35+$B35*1%))</f>
        <v>0.32375</v>
      </c>
      <c r="I35" s="29">
        <f t="shared" si="33"/>
        <v>0.3253125</v>
      </c>
      <c r="J35" s="29">
        <f t="shared" si="33"/>
        <v>0.325625</v>
      </c>
      <c r="K35" s="29">
        <f t="shared" si="33"/>
        <v>0.3259375</v>
      </c>
      <c r="M35" s="8">
        <v>-0.25</v>
      </c>
      <c r="N35" s="3" t="s">
        <v>756</v>
      </c>
    </row>
    <row r="36" s="1" customFormat="1" spans="1:14">
      <c r="A36" s="3" t="s">
        <v>766</v>
      </c>
      <c r="B36" s="1">
        <v>6</v>
      </c>
      <c r="C36" s="4">
        <v>0.25</v>
      </c>
      <c r="D36" s="4"/>
      <c r="F36" s="29">
        <f t="shared" si="23"/>
        <v>0.31</v>
      </c>
      <c r="G36" s="29">
        <f t="shared" si="24"/>
        <v>0.31</v>
      </c>
      <c r="H36" s="29">
        <f t="shared" ref="H36:K36" si="34">IF(ISNUMBER($E36),IF($B36&gt;16,(($C36+$D36-($D36-$C36)/$E36)*$E36/2+$D36*(H$1-$E36))/H$1+$B36*3%,(($C36+$D36-($D36-$C36)/$E36)*$E36/2+$D36*(H$1-$E36))/H$1+$B36*1%),IF($B36&gt;16,$C36+$B36*3%,$C36+$B36*1%))</f>
        <v>0.31</v>
      </c>
      <c r="I36" s="29">
        <f t="shared" si="34"/>
        <v>0.31</v>
      </c>
      <c r="J36" s="29">
        <f t="shared" si="34"/>
        <v>0.31</v>
      </c>
      <c r="K36" s="29">
        <f t="shared" si="34"/>
        <v>0.31</v>
      </c>
      <c r="M36" s="25">
        <v>0.25</v>
      </c>
      <c r="N36" s="3"/>
    </row>
    <row r="37" s="1" customFormat="1" spans="1:14">
      <c r="A37" s="21" t="s">
        <v>93</v>
      </c>
      <c r="B37" s="27">
        <v>17</v>
      </c>
      <c r="C37" s="28">
        <v>-0.2</v>
      </c>
      <c r="D37" s="23"/>
      <c r="E37" s="22"/>
      <c r="F37" s="29">
        <f t="shared" si="23"/>
        <v>0.31</v>
      </c>
      <c r="G37" s="29">
        <f t="shared" si="24"/>
        <v>0.31</v>
      </c>
      <c r="H37" s="29">
        <f t="shared" ref="H37:K37" si="35">IF(ISNUMBER($E37),IF($B37&gt;16,(($C37+$D37-($D37-$C37)/$E37)*$E37/2+$D37*(H$1-$E37))/H$1+$B37*3%,(($C37+$D37-($D37-$C37)/$E37)*$E37/2+$D37*(H$1-$E37))/H$1+$B37*1%),IF($B37&gt;16,$C37+$B37*3%,$C37+$B37*1%))</f>
        <v>0.31</v>
      </c>
      <c r="I37" s="29">
        <f t="shared" si="35"/>
        <v>0.31</v>
      </c>
      <c r="J37" s="29">
        <f t="shared" si="35"/>
        <v>0.31</v>
      </c>
      <c r="K37" s="29">
        <f t="shared" si="35"/>
        <v>0.31</v>
      </c>
      <c r="L37" s="22"/>
      <c r="M37" s="8">
        <v>-0.25</v>
      </c>
      <c r="N37" s="3"/>
    </row>
    <row r="38" s="1" customFormat="1" spans="1:14">
      <c r="A38" s="20" t="s">
        <v>763</v>
      </c>
      <c r="B38" s="19">
        <v>10</v>
      </c>
      <c r="C38" s="18">
        <v>0.2</v>
      </c>
      <c r="D38" s="18"/>
      <c r="E38" s="19"/>
      <c r="F38" s="33">
        <f t="shared" si="23"/>
        <v>0.3</v>
      </c>
      <c r="G38" s="33">
        <f t="shared" si="24"/>
        <v>0.3</v>
      </c>
      <c r="H38" s="33">
        <f t="shared" ref="H38:K38" si="36">IF(ISNUMBER($E38),IF($B38&gt;16,(($C38+$D38-($D38-$C38)/$E38)*$E38/2+$D38*(H$1-$E38))/H$1+$B38*3%,(($C38+$D38-($D38-$C38)/$E38)*$E38/2+$D38*(H$1-$E38))/H$1+$B38*1%),IF($B38&gt;16,$C38+$B38*3%,$C38+$B38*1%))</f>
        <v>0.3</v>
      </c>
      <c r="I38" s="33">
        <f t="shared" si="36"/>
        <v>0.3</v>
      </c>
      <c r="J38" s="33">
        <f t="shared" si="36"/>
        <v>0.3</v>
      </c>
      <c r="K38" s="33">
        <f t="shared" si="36"/>
        <v>0.3</v>
      </c>
      <c r="L38" s="19" t="s">
        <v>759</v>
      </c>
      <c r="M38" s="24">
        <v>-0.25</v>
      </c>
      <c r="N38" s="20" t="s">
        <v>764</v>
      </c>
    </row>
    <row r="39" s="1" customFormat="1" spans="1:14">
      <c r="A39" s="3" t="s">
        <v>770</v>
      </c>
      <c r="B39" s="1">
        <v>4</v>
      </c>
      <c r="C39" s="4">
        <v>0.25</v>
      </c>
      <c r="D39" s="4"/>
      <c r="F39" s="29">
        <f t="shared" si="23"/>
        <v>0.29</v>
      </c>
      <c r="G39" s="29">
        <f t="shared" si="24"/>
        <v>0.29</v>
      </c>
      <c r="H39" s="29">
        <f t="shared" ref="H39:K39" si="37">IF(ISNUMBER($E39),IF($B39&gt;16,(($C39+$D39-($D39-$C39)/$E39)*$E39/2+$D39*(H$1-$E39))/H$1+$B39*3%,(($C39+$D39-($D39-$C39)/$E39)*$E39/2+$D39*(H$1-$E39))/H$1+$B39*1%),IF($B39&gt;16,$C39+$B39*3%,$C39+$B39*1%))</f>
        <v>0.29</v>
      </c>
      <c r="I39" s="29">
        <f t="shared" si="37"/>
        <v>0.29</v>
      </c>
      <c r="J39" s="29">
        <f t="shared" si="37"/>
        <v>0.29</v>
      </c>
      <c r="K39" s="29">
        <f t="shared" si="37"/>
        <v>0.29</v>
      </c>
      <c r="N39" s="3"/>
    </row>
    <row r="40" s="1" customFormat="1" spans="1:14">
      <c r="A40" s="3" t="s">
        <v>767</v>
      </c>
      <c r="B40" s="1">
        <v>8</v>
      </c>
      <c r="C40" s="4">
        <v>0.2</v>
      </c>
      <c r="D40" s="4"/>
      <c r="F40" s="29">
        <f t="shared" si="23"/>
        <v>0.28</v>
      </c>
      <c r="G40" s="29">
        <f t="shared" si="24"/>
        <v>0.28</v>
      </c>
      <c r="H40" s="29">
        <f t="shared" ref="H40:K40" si="38">IF(ISNUMBER($E40),IF($B40&gt;16,(($C40+$D40-($D40-$C40)/$E40)*$E40/2+$D40*(H$1-$E40))/H$1+$B40*3%,(($C40+$D40-($D40-$C40)/$E40)*$E40/2+$D40*(H$1-$E40))/H$1+$B40*1%),IF($B40&gt;16,$C40+$B40*3%,$C40+$B40*1%))</f>
        <v>0.28</v>
      </c>
      <c r="I40" s="29">
        <f t="shared" si="38"/>
        <v>0.28</v>
      </c>
      <c r="J40" s="29">
        <f t="shared" si="38"/>
        <v>0.28</v>
      </c>
      <c r="K40" s="29">
        <f t="shared" si="38"/>
        <v>0.28</v>
      </c>
      <c r="M40" s="8">
        <v>-0.25</v>
      </c>
      <c r="N40" s="3"/>
    </row>
    <row r="41" s="1" customFormat="1" spans="1:14">
      <c r="A41" s="3" t="s">
        <v>768</v>
      </c>
      <c r="B41" s="1">
        <v>10</v>
      </c>
      <c r="C41" s="4">
        <v>0.15</v>
      </c>
      <c r="D41" s="4"/>
      <c r="F41" s="29">
        <f t="shared" si="23"/>
        <v>0.25</v>
      </c>
      <c r="G41" s="29">
        <f t="shared" si="24"/>
        <v>0.25</v>
      </c>
      <c r="H41" s="29">
        <f t="shared" ref="H41:K41" si="39">IF(ISNUMBER($E41),IF($B41&gt;16,(($C41+$D41-($D41-$C41)/$E41)*$E41/2+$D41*(H$1-$E41))/H$1+$B41*3%,(($C41+$D41-($D41-$C41)/$E41)*$E41/2+$D41*(H$1-$E41))/H$1+$B41*1%),IF($B41&gt;16,$C41+$B41*3%,$C41+$B41*1%))</f>
        <v>0.25</v>
      </c>
      <c r="I41" s="29">
        <f t="shared" si="39"/>
        <v>0.25</v>
      </c>
      <c r="J41" s="29">
        <f t="shared" si="39"/>
        <v>0.25</v>
      </c>
      <c r="K41" s="29">
        <f t="shared" si="39"/>
        <v>0.25</v>
      </c>
      <c r="M41" s="8">
        <v>-0.25</v>
      </c>
      <c r="N41" s="3"/>
    </row>
    <row r="42" s="1" customFormat="1" spans="1:14">
      <c r="A42" s="3" t="s">
        <v>771</v>
      </c>
      <c r="B42" s="1">
        <v>8</v>
      </c>
      <c r="C42" s="4">
        <v>0.17</v>
      </c>
      <c r="D42" s="4"/>
      <c r="F42" s="29">
        <f t="shared" si="23"/>
        <v>0.25</v>
      </c>
      <c r="G42" s="29">
        <f t="shared" si="24"/>
        <v>0.25</v>
      </c>
      <c r="H42" s="29">
        <f t="shared" ref="H42:K42" si="40">IF(ISNUMBER($E42),IF($B42&gt;16,(($C42+$D42-($D42-$C42)/$E42)*$E42/2+$D42*(H$1-$E42))/H$1+$B42*3%,(($C42+$D42-($D42-$C42)/$E42)*$E42/2+$D42*(H$1-$E42))/H$1+$B42*1%),IF($B42&gt;16,$C42+$B42*3%,$C42+$B42*1%))</f>
        <v>0.25</v>
      </c>
      <c r="I42" s="29">
        <f t="shared" si="40"/>
        <v>0.25</v>
      </c>
      <c r="J42" s="29">
        <f t="shared" si="40"/>
        <v>0.25</v>
      </c>
      <c r="K42" s="29">
        <f t="shared" si="40"/>
        <v>0.25</v>
      </c>
      <c r="N42" s="2" t="s">
        <v>609</v>
      </c>
    </row>
    <row r="43" s="1" customFormat="1" spans="1:14">
      <c r="A43" s="3" t="s">
        <v>772</v>
      </c>
      <c r="B43" s="1">
        <v>8</v>
      </c>
      <c r="C43" s="4">
        <v>0.15</v>
      </c>
      <c r="D43" s="4"/>
      <c r="F43" s="29">
        <f t="shared" si="23"/>
        <v>0.23</v>
      </c>
      <c r="G43" s="29">
        <f t="shared" si="24"/>
        <v>0.23</v>
      </c>
      <c r="H43" s="29">
        <f t="shared" ref="H43:K43" si="41">IF(ISNUMBER($E43),IF($B43&gt;16,(($C43+$D43-($D43-$C43)/$E43)*$E43/2+$D43*(H$1-$E43))/H$1+$B43*3%,(($C43+$D43-($D43-$C43)/$E43)*$E43/2+$D43*(H$1-$E43))/H$1+$B43*1%),IF($B43&gt;16,$C43+$B43*3%,$C43+$B43*1%))</f>
        <v>0.23</v>
      </c>
      <c r="I43" s="29">
        <f t="shared" si="41"/>
        <v>0.23</v>
      </c>
      <c r="J43" s="29">
        <f t="shared" si="41"/>
        <v>0.23</v>
      </c>
      <c r="K43" s="29">
        <f t="shared" si="41"/>
        <v>0.23</v>
      </c>
      <c r="M43" s="8">
        <v>-0.25</v>
      </c>
      <c r="N43" s="3"/>
    </row>
    <row r="44" s="1" customFormat="1" spans="1:14">
      <c r="A44" s="3" t="s">
        <v>773</v>
      </c>
      <c r="B44" s="1">
        <v>10</v>
      </c>
      <c r="C44" s="4">
        <v>0.1</v>
      </c>
      <c r="D44" s="4"/>
      <c r="F44" s="29">
        <f t="shared" si="23"/>
        <v>0.2</v>
      </c>
      <c r="G44" s="29">
        <f t="shared" si="24"/>
        <v>0.2</v>
      </c>
      <c r="H44" s="29">
        <f t="shared" ref="H44:K44" si="42">IF(ISNUMBER($E44),IF($B44&gt;16,(($C44+$D44-($D44-$C44)/$E44)*$E44/2+$D44*(H$1-$E44))/H$1+$B44*3%,(($C44+$D44-($D44-$C44)/$E44)*$E44/2+$D44*(H$1-$E44))/H$1+$B44*1%),IF($B44&gt;16,$C44+$B44*3%,$C44+$B44*1%))</f>
        <v>0.2</v>
      </c>
      <c r="I44" s="29">
        <f t="shared" si="42"/>
        <v>0.2</v>
      </c>
      <c r="J44" s="29">
        <f t="shared" si="42"/>
        <v>0.2</v>
      </c>
      <c r="K44" s="29">
        <f t="shared" si="42"/>
        <v>0.2</v>
      </c>
      <c r="N44" s="3"/>
    </row>
    <row r="45" s="1" customFormat="1" spans="1:14">
      <c r="A45" s="21" t="s">
        <v>775</v>
      </c>
      <c r="B45" s="22">
        <v>6</v>
      </c>
      <c r="C45" s="23">
        <v>0.1</v>
      </c>
      <c r="D45" s="23"/>
      <c r="E45" s="22"/>
      <c r="F45" s="29">
        <f t="shared" si="23"/>
        <v>0.16</v>
      </c>
      <c r="G45" s="29">
        <f t="shared" si="24"/>
        <v>0.16</v>
      </c>
      <c r="H45" s="29">
        <f t="shared" ref="H45:K45" si="43">IF(ISNUMBER($E45),IF($B45&gt;16,(($C45+$D45-($D45-$C45)/$E45)*$E45/2+$D45*(H$1-$E45))/H$1+$B45*3%,(($C45+$D45-($D45-$C45)/$E45)*$E45/2+$D45*(H$1-$E45))/H$1+$B45*1%),IF($B45&gt;16,$C45+$B45*3%,$C45+$B45*1%))</f>
        <v>0.16</v>
      </c>
      <c r="I45" s="29">
        <f t="shared" si="43"/>
        <v>0.16</v>
      </c>
      <c r="J45" s="29">
        <f t="shared" si="43"/>
        <v>0.16</v>
      </c>
      <c r="K45" s="29">
        <f t="shared" si="43"/>
        <v>0.16</v>
      </c>
      <c r="L45" s="22"/>
      <c r="M45" s="8">
        <v>-0.25</v>
      </c>
      <c r="N45" s="3"/>
    </row>
    <row r="46" s="1" customFormat="1" spans="1:14">
      <c r="A46" s="10" t="s">
        <v>774</v>
      </c>
      <c r="B46" s="13">
        <v>15</v>
      </c>
      <c r="C46" s="12"/>
      <c r="D46" s="12"/>
      <c r="E46" s="13"/>
      <c r="F46" s="32">
        <f t="shared" si="23"/>
        <v>0.15</v>
      </c>
      <c r="G46" s="32">
        <f t="shared" si="24"/>
        <v>0.15</v>
      </c>
      <c r="H46" s="32">
        <f t="shared" ref="H46:K46" si="44">IF(ISNUMBER($E46),IF($B46&gt;16,(($C46+$D46-($D46-$C46)/$E46)*$E46/2+$D46*(H$1-$E46))/H$1+$B46*3%,(($C46+$D46-($D46-$C46)/$E46)*$E46/2+$D46*(H$1-$E46))/H$1+$B46*1%),IF($B46&gt;16,$C46+$B46*3%,$C46+$B46*1%))</f>
        <v>0.15</v>
      </c>
      <c r="I46" s="32">
        <f t="shared" si="44"/>
        <v>0.15</v>
      </c>
      <c r="J46" s="32">
        <f t="shared" si="44"/>
        <v>0.15</v>
      </c>
      <c r="K46" s="32">
        <f t="shared" si="44"/>
        <v>0.15</v>
      </c>
      <c r="L46" s="13" t="s">
        <v>755</v>
      </c>
      <c r="M46" s="14">
        <v>-0.25</v>
      </c>
      <c r="N46" s="10"/>
    </row>
    <row r="47" s="1" customFormat="1" spans="1:14">
      <c r="A47" s="21" t="s">
        <v>776</v>
      </c>
      <c r="B47" s="22">
        <v>8</v>
      </c>
      <c r="C47" s="23"/>
      <c r="D47" s="23"/>
      <c r="E47" s="22"/>
      <c r="F47" s="29">
        <f t="shared" si="23"/>
        <v>0.08</v>
      </c>
      <c r="G47" s="29">
        <f t="shared" si="24"/>
        <v>0.08</v>
      </c>
      <c r="H47" s="29">
        <f t="shared" ref="H47:K47" si="45">IF(ISNUMBER($E47),IF($B47&gt;16,(($C47+$D47-($D47-$C47)/$E47)*$E47/2+$D47*(H$1-$E47))/H$1+$B47*3%,(($C47+$D47-($D47-$C47)/$E47)*$E47/2+$D47*(H$1-$E47))/H$1+$B47*1%),IF($B47&gt;16,$C47+$B47*3%,$C47+$B47*1%))</f>
        <v>0.08</v>
      </c>
      <c r="I47" s="29">
        <f t="shared" si="45"/>
        <v>0.08</v>
      </c>
      <c r="J47" s="29">
        <f t="shared" si="45"/>
        <v>0.08</v>
      </c>
      <c r="K47" s="29">
        <f t="shared" si="45"/>
        <v>0.08</v>
      </c>
      <c r="L47" s="22"/>
      <c r="M47" s="8">
        <v>-0.25</v>
      </c>
      <c r="N47" s="3"/>
    </row>
    <row r="49" s="1" customFormat="1" spans="1:14">
      <c r="A49" s="34" t="s">
        <v>778</v>
      </c>
      <c r="B49" s="26" t="s">
        <v>779</v>
      </c>
      <c r="C49" s="26"/>
      <c r="D49" s="26"/>
      <c r="E49" s="26"/>
      <c r="F49" s="26"/>
      <c r="G49" s="26"/>
      <c r="H49" s="26"/>
      <c r="I49" s="26"/>
      <c r="J49" s="26"/>
      <c r="K49" s="26"/>
      <c r="L49" s="26"/>
      <c r="M49" s="26"/>
      <c r="N49" s="26"/>
    </row>
    <row r="50" s="1" customFormat="1" spans="1:14">
      <c r="A50" s="7" t="s">
        <v>47</v>
      </c>
      <c r="B50" s="35"/>
      <c r="C50" s="36">
        <v>0.2</v>
      </c>
      <c r="D50" s="36">
        <v>0.25</v>
      </c>
      <c r="E50" s="35">
        <v>5</v>
      </c>
      <c r="F50" s="4">
        <f t="shared" ref="F50:K50" si="46">(($C50+$D50-($D50-$C50)/$E50)*$E50/2+$D50*(F$1-$E50))/F$1</f>
        <v>0.2375</v>
      </c>
      <c r="G50" s="4">
        <f t="shared" si="46"/>
        <v>0.241666666666667</v>
      </c>
      <c r="H50" s="4">
        <f t="shared" si="46"/>
        <v>0.24375</v>
      </c>
      <c r="I50" s="4">
        <f t="shared" si="46"/>
        <v>0.2453125</v>
      </c>
      <c r="J50" s="4">
        <f t="shared" si="46"/>
        <v>0.245625</v>
      </c>
      <c r="K50" s="4">
        <f t="shared" si="46"/>
        <v>0.2459375</v>
      </c>
      <c r="L50" s="27" t="s">
        <v>527</v>
      </c>
      <c r="M50" s="25"/>
      <c r="N50" s="3" t="s">
        <v>756</v>
      </c>
    </row>
    <row r="51" s="1" customFormat="1" spans="1:14">
      <c r="A51" s="7" t="s">
        <v>50</v>
      </c>
      <c r="B51" s="35"/>
      <c r="C51" s="36">
        <v>0.15</v>
      </c>
      <c r="D51" s="36">
        <v>0.25</v>
      </c>
      <c r="E51" s="35">
        <v>5</v>
      </c>
      <c r="F51" s="4">
        <f t="shared" ref="F51:K51" si="47">(($C51+$D51-($D51-$C51)/$E51)*$E51/2+$D51*(F$1-$E51))/F$1</f>
        <v>0.225</v>
      </c>
      <c r="G51" s="4">
        <f t="shared" si="47"/>
        <v>0.233333333333333</v>
      </c>
      <c r="H51" s="4">
        <f t="shared" si="47"/>
        <v>0.2375</v>
      </c>
      <c r="I51" s="4">
        <f t="shared" si="47"/>
        <v>0.240625</v>
      </c>
      <c r="J51" s="4">
        <f t="shared" si="47"/>
        <v>0.24125</v>
      </c>
      <c r="K51" s="4">
        <f t="shared" si="47"/>
        <v>0.241875</v>
      </c>
      <c r="L51" s="27" t="s">
        <v>527</v>
      </c>
      <c r="M51" s="25"/>
      <c r="N51" s="3" t="s">
        <v>756</v>
      </c>
    </row>
    <row r="52" s="1" customFormat="1" spans="1:14">
      <c r="A52" s="20" t="s">
        <v>647</v>
      </c>
      <c r="B52" s="19"/>
      <c r="C52" s="18">
        <v>0.25</v>
      </c>
      <c r="D52" s="18">
        <v>0.45</v>
      </c>
      <c r="E52" s="19">
        <v>10</v>
      </c>
      <c r="F52" s="18">
        <f>(($C52+$D52-($D52-$C52)/$E52)*$E52/2+$D52*(F$1-$E52))/F$1</f>
        <v>0.358333333333333</v>
      </c>
      <c r="G52" s="18">
        <f>(($C52+$D52-($D52-$C52)/$E52)*$E52/2+$D52*(G$1-$E52))/G$1</f>
        <v>0.388888888888889</v>
      </c>
      <c r="H52" s="18">
        <f t="shared" ref="H52:K52" si="48">(($C52+$D52-($D52-$C52)/$E52)*$E52/2+$D52*(H$1-$E52))/H$1</f>
        <v>0.404166666666667</v>
      </c>
      <c r="I52" s="18">
        <f t="shared" si="48"/>
        <v>0.415625</v>
      </c>
      <c r="J52" s="18">
        <f t="shared" si="48"/>
        <v>0.417916666666667</v>
      </c>
      <c r="K52" s="18">
        <f t="shared" si="48"/>
        <v>0.420208333333333</v>
      </c>
      <c r="L52" s="37" t="s">
        <v>759</v>
      </c>
      <c r="M52" s="38">
        <v>0.25</v>
      </c>
      <c r="N52" s="20" t="s">
        <v>780</v>
      </c>
    </row>
    <row r="53" s="1" customFormat="1" spans="1:14">
      <c r="A53" s="39" t="s">
        <v>682</v>
      </c>
      <c r="B53" s="40"/>
      <c r="C53" s="41"/>
      <c r="D53" s="41"/>
      <c r="E53" s="40"/>
      <c r="F53" s="41">
        <f>MAX(30%,(30%*12+40%*(F$1-12))/F$1)</f>
        <v>0.3</v>
      </c>
      <c r="G53" s="41">
        <f>MAX(30%,(30%*12+40%*(G$1-12))/G$1)</f>
        <v>0.333333333333333</v>
      </c>
      <c r="H53" s="41">
        <f t="shared" ref="H53:K53" si="49">MAX(30%,(30%*12+40%*(H$1-12))/H$1)</f>
        <v>0.35</v>
      </c>
      <c r="I53" s="41">
        <f t="shared" si="49"/>
        <v>0.3625</v>
      </c>
      <c r="J53" s="41">
        <f t="shared" si="49"/>
        <v>0.365</v>
      </c>
      <c r="K53" s="41">
        <f t="shared" si="49"/>
        <v>0.3675</v>
      </c>
      <c r="L53" s="42" t="s">
        <v>755</v>
      </c>
      <c r="M53" s="43"/>
      <c r="N53" s="10" t="s">
        <v>781</v>
      </c>
    </row>
    <row r="54" spans="1:14">
      <c r="A54" s="44" t="s">
        <v>320</v>
      </c>
      <c r="B54" s="45"/>
      <c r="C54" s="46">
        <v>0.15</v>
      </c>
      <c r="D54" s="46">
        <v>0.2</v>
      </c>
      <c r="E54" s="45">
        <v>5</v>
      </c>
      <c r="F54" s="46">
        <f t="shared" ref="F54:K54" si="50">(($C54+$D54-($D54-$C54)/$E54)*$E54/2+$D54*(F$1-$E54))/F$1</f>
        <v>0.1875</v>
      </c>
      <c r="G54" s="46">
        <f t="shared" si="50"/>
        <v>0.191666666666667</v>
      </c>
      <c r="H54" s="46">
        <f t="shared" si="50"/>
        <v>0.19375</v>
      </c>
      <c r="I54" s="46">
        <f t="shared" si="50"/>
        <v>0.1953125</v>
      </c>
      <c r="J54" s="46">
        <f t="shared" si="50"/>
        <v>0.195625</v>
      </c>
      <c r="K54" s="46">
        <f t="shared" si="50"/>
        <v>0.1959375</v>
      </c>
      <c r="L54" s="45" t="s">
        <v>71</v>
      </c>
      <c r="M54" s="47">
        <v>-0.3</v>
      </c>
      <c r="N54" s="44" t="s">
        <v>756</v>
      </c>
    </row>
    <row r="55" s="1" customFormat="1" spans="1:14">
      <c r="A55" s="48" t="s">
        <v>782</v>
      </c>
      <c r="B55" s="49"/>
      <c r="C55" s="50">
        <v>0.41</v>
      </c>
      <c r="D55" s="50">
        <v>0.51</v>
      </c>
      <c r="E55" s="49">
        <v>5</v>
      </c>
      <c r="F55" s="50">
        <f>(($C55+$D55-($D55-$C55)/$E55)*$E55/2+$D55*(F$1-$E55))/F$1</f>
        <v>0.485</v>
      </c>
      <c r="G55" s="50">
        <f>(($C55+$D55-($D55-$C55)/$E55)*$E55/2+$D55*(G$1-$E55))/G$1</f>
        <v>0.493333333333333</v>
      </c>
      <c r="H55" s="50">
        <f t="shared" ref="H55:K55" si="51">(($C55+$D55-($D55-$C55)/$E55)*$E55/2+$D55*(H$1-$E55))/H$1</f>
        <v>0.4975</v>
      </c>
      <c r="I55" s="50">
        <f t="shared" si="51"/>
        <v>0.500625</v>
      </c>
      <c r="J55" s="50">
        <f t="shared" si="51"/>
        <v>0.50125</v>
      </c>
      <c r="K55" s="50">
        <f t="shared" si="51"/>
        <v>0.501875</v>
      </c>
      <c r="L55" s="49" t="s">
        <v>79</v>
      </c>
      <c r="M55" s="49"/>
      <c r="N55" s="48" t="s">
        <v>756</v>
      </c>
    </row>
  </sheetData>
  <mergeCells count="3">
    <mergeCell ref="B3:N3"/>
    <mergeCell ref="B26:N26"/>
    <mergeCell ref="B49:N4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使用必看</vt:lpstr>
      <vt:lpstr>新手可用</vt:lpstr>
      <vt:lpstr>宿管</vt:lpstr>
      <vt:lpstr>加工站</vt:lpstr>
      <vt:lpstr>发电站</vt:lpstr>
      <vt:lpstr>会客室</vt:lpstr>
      <vt:lpstr>办公室</vt:lpstr>
      <vt:lpstr>感知信息人间烟火</vt:lpstr>
      <vt:lpstr>贸易站干员替换</vt:lpstr>
      <vt:lpstr>制造站干员替换</vt:lpstr>
      <vt:lpstr>特殊效率计算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异空间</cp:lastModifiedBy>
  <dcterms:created xsi:type="dcterms:W3CDTF">2026-07-14T12:43:00Z</dcterms:created>
  <dcterms:modified xsi:type="dcterms:W3CDTF">2026-08-21T03:04:04Z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E37EAD0315924FECB226475EC4D8F7A9_11</vt:lpwstr>
  </property>
  <property fmtid="{D5CDD505-2E9C-101B-9397-08002B2CF9AE}" pid="3" name="KSOProductBuildVer">
    <vt:lpwstr>2052-12.1.0.28043</vt:lpwstr>
  </property>
  <property fmtid="{D5CDD505-2E9C-101B-9397-08002B2CF9AE}" pid="4" name="CalculationRule">
    <vt:i4>1</vt:i4>
  </property>
</Properties>
</file>